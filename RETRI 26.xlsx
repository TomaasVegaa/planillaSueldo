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MAQUINA LORE RED\A CLIENTES\PASIVOS\ALBORNOZ PABLO SEBASTIAN\SOCIO\"/>
    </mc:Choice>
  </mc:AlternateContent>
  <bookViews>
    <workbookView xWindow="-120" yWindow="-120" windowWidth="20730" windowHeight="11040" tabRatio="500" activeTab="1"/>
  </bookViews>
  <sheets>
    <sheet name="SEMANAL" sheetId="1" r:id="rId1"/>
    <sheet name="JUN SE PAGA EN JUL" sheetId="2" r:id="rId2"/>
    <sheet name="MAY SE PAGA EN JUN" sheetId="3" r:id="rId3"/>
    <sheet name="ABR SE PAGA EN MAY" sheetId="4" r:id="rId4"/>
    <sheet name="MAR SE PAGA EN ABR" sheetId="5" r:id="rId5"/>
    <sheet name="FEB SE PAGA EN MAR" sheetId="6" r:id="rId6"/>
    <sheet name="ALIAS" sheetId="7" r:id="rId7"/>
    <sheet name="ENE SE PAGA EN FEB" sheetId="8" r:id="rId8"/>
    <sheet name="GASTOS" sheetId="9" r:id="rId9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3" i="2" l="1"/>
  <c r="F14" i="2" l="1"/>
  <c r="F37" i="9" l="1"/>
  <c r="F35" i="9"/>
  <c r="F27" i="9"/>
  <c r="F22" i="9"/>
  <c r="F19" i="9"/>
  <c r="F17" i="9"/>
  <c r="E13" i="9"/>
  <c r="F13" i="9" s="1"/>
  <c r="F10" i="9"/>
  <c r="F9" i="9"/>
  <c r="F8" i="9"/>
  <c r="F7" i="9"/>
  <c r="F6" i="9"/>
  <c r="F5" i="9"/>
  <c r="F4" i="9"/>
  <c r="S50" i="8"/>
  <c r="D44" i="8"/>
  <c r="D41" i="8"/>
  <c r="D42" i="8" s="1"/>
  <c r="D45" i="8" s="1"/>
  <c r="P9" i="8" s="1"/>
  <c r="P28" i="8"/>
  <c r="P27" i="8"/>
  <c r="P26" i="8"/>
  <c r="P25" i="8"/>
  <c r="Q24" i="8"/>
  <c r="P24" i="8"/>
  <c r="P23" i="8"/>
  <c r="P22" i="8"/>
  <c r="P21" i="8"/>
  <c r="P20" i="8"/>
  <c r="P19" i="8"/>
  <c r="W18" i="8"/>
  <c r="P18" i="8"/>
  <c r="R17" i="8"/>
  <c r="R29" i="8" s="1"/>
  <c r="Q17" i="8"/>
  <c r="P17" i="8"/>
  <c r="P16" i="8"/>
  <c r="P15" i="8"/>
  <c r="P14" i="8"/>
  <c r="P13" i="8"/>
  <c r="G13" i="8"/>
  <c r="P12" i="8"/>
  <c r="P11" i="8"/>
  <c r="Q10" i="8"/>
  <c r="Q29" i="8" s="1"/>
  <c r="P10" i="8"/>
  <c r="G10" i="8"/>
  <c r="G11" i="8" s="1"/>
  <c r="G12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9" i="8"/>
  <c r="D9" i="8"/>
  <c r="D10" i="8" s="1"/>
  <c r="U8" i="8"/>
  <c r="C6" i="8"/>
  <c r="J4" i="8"/>
  <c r="J3" i="8" s="1"/>
  <c r="F4" i="8"/>
  <c r="D4" i="8"/>
  <c r="D3" i="8" s="1"/>
  <c r="E3" i="8" s="1"/>
  <c r="S50" i="6"/>
  <c r="D44" i="6"/>
  <c r="D41" i="6"/>
  <c r="D42" i="6" s="1"/>
  <c r="D45" i="6" s="1"/>
  <c r="P9" i="6" s="1"/>
  <c r="P29" i="6" s="1"/>
  <c r="R28" i="6"/>
  <c r="R29" i="6" s="1"/>
  <c r="Q28" i="6"/>
  <c r="Q27" i="6"/>
  <c r="Q26" i="6"/>
  <c r="Q25" i="6"/>
  <c r="Q24" i="6"/>
  <c r="Q23" i="6"/>
  <c r="Q22" i="6"/>
  <c r="Q21" i="6"/>
  <c r="Q20" i="6"/>
  <c r="P19" i="6"/>
  <c r="Q18" i="6"/>
  <c r="P18" i="6"/>
  <c r="R17" i="6"/>
  <c r="Q17" i="6"/>
  <c r="P17" i="6"/>
  <c r="P16" i="6"/>
  <c r="Q15" i="6"/>
  <c r="Q14" i="6"/>
  <c r="Q13" i="6"/>
  <c r="G13" i="6"/>
  <c r="Q12" i="6"/>
  <c r="P12" i="6"/>
  <c r="N12" i="6"/>
  <c r="S12" i="6" s="1"/>
  <c r="Q10" i="6"/>
  <c r="P10" i="6"/>
  <c r="Q9" i="6"/>
  <c r="G9" i="6"/>
  <c r="G10" i="6" s="1"/>
  <c r="G11" i="6" s="1"/>
  <c r="G12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D9" i="6"/>
  <c r="D10" i="6" s="1"/>
  <c r="C6" i="6"/>
  <c r="J4" i="6"/>
  <c r="J9" i="6" s="1"/>
  <c r="J10" i="6" s="1"/>
  <c r="J11" i="6" s="1"/>
  <c r="J12" i="6" s="1"/>
  <c r="J13" i="6" s="1"/>
  <c r="J14" i="6" s="1"/>
  <c r="J15" i="6" s="1"/>
  <c r="J16" i="6" s="1"/>
  <c r="J17" i="6" s="1"/>
  <c r="D4" i="6"/>
  <c r="D3" i="6" s="1"/>
  <c r="D44" i="5"/>
  <c r="D41" i="5"/>
  <c r="D42" i="5" s="1"/>
  <c r="D45" i="5" s="1"/>
  <c r="P9" i="5" s="1"/>
  <c r="U40" i="5"/>
  <c r="U38" i="5"/>
  <c r="U36" i="5"/>
  <c r="U34" i="5"/>
  <c r="S33" i="5"/>
  <c r="R28" i="5"/>
  <c r="R27" i="5"/>
  <c r="R26" i="5"/>
  <c r="Q26" i="5"/>
  <c r="R25" i="5"/>
  <c r="R24" i="5"/>
  <c r="R23" i="5"/>
  <c r="R22" i="5"/>
  <c r="R21" i="5"/>
  <c r="R19" i="5"/>
  <c r="P19" i="5"/>
  <c r="R18" i="5"/>
  <c r="R17" i="5"/>
  <c r="P17" i="5"/>
  <c r="R16" i="5"/>
  <c r="P16" i="5"/>
  <c r="R15" i="5"/>
  <c r="R14" i="5"/>
  <c r="R13" i="5"/>
  <c r="Q13" i="5"/>
  <c r="Q29" i="5" s="1"/>
  <c r="G13" i="5"/>
  <c r="R12" i="5"/>
  <c r="P12" i="5"/>
  <c r="R11" i="5"/>
  <c r="R10" i="5"/>
  <c r="G10" i="5"/>
  <c r="G11" i="5" s="1"/>
  <c r="G12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R9" i="5"/>
  <c r="R29" i="5" s="1"/>
  <c r="G9" i="5"/>
  <c r="D9" i="5"/>
  <c r="D10" i="5" s="1"/>
  <c r="U8" i="5"/>
  <c r="C6" i="5"/>
  <c r="J4" i="5"/>
  <c r="J9" i="5" s="1"/>
  <c r="J10" i="5" s="1"/>
  <c r="J11" i="5" s="1"/>
  <c r="J12" i="5" s="1"/>
  <c r="J13" i="5" s="1"/>
  <c r="J14" i="5" s="1"/>
  <c r="J15" i="5" s="1"/>
  <c r="J16" i="5" s="1"/>
  <c r="J17" i="5" s="1"/>
  <c r="D4" i="5"/>
  <c r="D3" i="5" s="1"/>
  <c r="D43" i="4"/>
  <c r="U39" i="4"/>
  <c r="U37" i="4"/>
  <c r="D37" i="4"/>
  <c r="D40" i="4" s="1"/>
  <c r="D41" i="4" s="1"/>
  <c r="D44" i="4" s="1"/>
  <c r="P9" i="4" s="1"/>
  <c r="P28" i="4" s="1"/>
  <c r="U35" i="4"/>
  <c r="U33" i="4"/>
  <c r="S32" i="4"/>
  <c r="D29" i="4"/>
  <c r="Q28" i="4"/>
  <c r="G22" i="4"/>
  <c r="G23" i="4" s="1"/>
  <c r="G24" i="4" s="1"/>
  <c r="P21" i="4"/>
  <c r="P19" i="4"/>
  <c r="R18" i="4"/>
  <c r="R28" i="4" s="1"/>
  <c r="P18" i="4"/>
  <c r="P17" i="4"/>
  <c r="P16" i="4"/>
  <c r="G13" i="4"/>
  <c r="P12" i="4"/>
  <c r="G10" i="4"/>
  <c r="G11" i="4" s="1"/>
  <c r="G12" i="4" s="1"/>
  <c r="G14" i="4" s="1"/>
  <c r="G15" i="4" s="1"/>
  <c r="G16" i="4" s="1"/>
  <c r="G17" i="4" s="1"/>
  <c r="G18" i="4" s="1"/>
  <c r="G19" i="4" s="1"/>
  <c r="J9" i="4"/>
  <c r="J10" i="4" s="1"/>
  <c r="J11" i="4" s="1"/>
  <c r="J12" i="4" s="1"/>
  <c r="J13" i="4" s="1"/>
  <c r="J14" i="4" s="1"/>
  <c r="J15" i="4" s="1"/>
  <c r="J16" i="4" s="1"/>
  <c r="J17" i="4" s="1"/>
  <c r="G9" i="4"/>
  <c r="D9" i="4"/>
  <c r="U8" i="4"/>
  <c r="C6" i="4"/>
  <c r="J4" i="4"/>
  <c r="D4" i="4"/>
  <c r="D3" i="4" s="1"/>
  <c r="J3" i="4"/>
  <c r="D43" i="3"/>
  <c r="H42" i="3"/>
  <c r="H41" i="3"/>
  <c r="H40" i="3"/>
  <c r="H39" i="3"/>
  <c r="D37" i="3"/>
  <c r="D40" i="3" s="1"/>
  <c r="D41" i="3" s="1"/>
  <c r="S32" i="3"/>
  <c r="D29" i="3"/>
  <c r="Q28" i="3"/>
  <c r="R27" i="3"/>
  <c r="R26" i="3"/>
  <c r="R25" i="3"/>
  <c r="R24" i="3"/>
  <c r="R23" i="3"/>
  <c r="R22" i="3"/>
  <c r="G22" i="3"/>
  <c r="G23" i="3" s="1"/>
  <c r="G24" i="3" s="1"/>
  <c r="R21" i="3"/>
  <c r="R20" i="3"/>
  <c r="R19" i="3"/>
  <c r="P19" i="3"/>
  <c r="R17" i="3"/>
  <c r="P17" i="3"/>
  <c r="R16" i="3"/>
  <c r="P16" i="3"/>
  <c r="R15" i="3"/>
  <c r="R14" i="3"/>
  <c r="R13" i="3"/>
  <c r="G13" i="3"/>
  <c r="R12" i="3"/>
  <c r="P12" i="3"/>
  <c r="R11" i="3"/>
  <c r="R10" i="3"/>
  <c r="R9" i="3"/>
  <c r="R28" i="3" s="1"/>
  <c r="G9" i="3"/>
  <c r="G10" i="3" s="1"/>
  <c r="G11" i="3" s="1"/>
  <c r="G12" i="3" s="1"/>
  <c r="G14" i="3" s="1"/>
  <c r="G15" i="3" s="1"/>
  <c r="G16" i="3" s="1"/>
  <c r="G17" i="3" s="1"/>
  <c r="G18" i="3" s="1"/>
  <c r="G19" i="3" s="1"/>
  <c r="D9" i="3"/>
  <c r="D10" i="3" s="1"/>
  <c r="C6" i="3"/>
  <c r="J4" i="3"/>
  <c r="J9" i="3" s="1"/>
  <c r="J10" i="3" s="1"/>
  <c r="J11" i="3" s="1"/>
  <c r="J12" i="3" s="1"/>
  <c r="J13" i="3" s="1"/>
  <c r="J14" i="3" s="1"/>
  <c r="J15" i="3" s="1"/>
  <c r="J16" i="3" s="1"/>
  <c r="J17" i="3" s="1"/>
  <c r="D4" i="3"/>
  <c r="J3" i="3"/>
  <c r="D3" i="3"/>
  <c r="D42" i="2"/>
  <c r="H41" i="2"/>
  <c r="H40" i="2"/>
  <c r="H39" i="2"/>
  <c r="D39" i="2"/>
  <c r="D40" i="2" s="1"/>
  <c r="H38" i="2"/>
  <c r="S31" i="2"/>
  <c r="D28" i="2"/>
  <c r="R27" i="2"/>
  <c r="P26" i="2"/>
  <c r="W25" i="2"/>
  <c r="Q25" i="2"/>
  <c r="W24" i="2"/>
  <c r="W23" i="2"/>
  <c r="Q23" i="2"/>
  <c r="W22" i="2"/>
  <c r="G22" i="2"/>
  <c r="G23" i="2" s="1"/>
  <c r="W21" i="2"/>
  <c r="Q21" i="2"/>
  <c r="G21" i="2"/>
  <c r="W20" i="2"/>
  <c r="Q20" i="2"/>
  <c r="P20" i="2"/>
  <c r="W19" i="2"/>
  <c r="Q19" i="2"/>
  <c r="P19" i="2"/>
  <c r="W18" i="2"/>
  <c r="Q18" i="2"/>
  <c r="P18" i="2"/>
  <c r="W17" i="2"/>
  <c r="Q17" i="2"/>
  <c r="P17" i="2"/>
  <c r="W16" i="2"/>
  <c r="Q16" i="2"/>
  <c r="P16" i="2"/>
  <c r="W15" i="2"/>
  <c r="Q15" i="2"/>
  <c r="W14" i="2"/>
  <c r="Q14" i="2"/>
  <c r="W13" i="2"/>
  <c r="Q13" i="2"/>
  <c r="G13" i="2"/>
  <c r="P12" i="2"/>
  <c r="W11" i="2"/>
  <c r="Q11" i="2"/>
  <c r="W10" i="2"/>
  <c r="Q10" i="2"/>
  <c r="D10" i="2"/>
  <c r="W9" i="2"/>
  <c r="Q9" i="2"/>
  <c r="Q27" i="2" s="1"/>
  <c r="G9" i="2"/>
  <c r="G10" i="2" s="1"/>
  <c r="G11" i="2" s="1"/>
  <c r="G12" i="2" s="1"/>
  <c r="G14" i="2" s="1"/>
  <c r="G15" i="2" s="1"/>
  <c r="G16" i="2" s="1"/>
  <c r="G17" i="2" s="1"/>
  <c r="E9" i="2"/>
  <c r="F9" i="2" s="1"/>
  <c r="D9" i="2"/>
  <c r="C6" i="2"/>
  <c r="J4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F4" i="2"/>
  <c r="H4" i="2" s="1"/>
  <c r="D4" i="2"/>
  <c r="J3" i="2"/>
  <c r="D3" i="2"/>
  <c r="R20" i="1"/>
  <c r="Q20" i="1"/>
  <c r="O20" i="1"/>
  <c r="D20" i="1"/>
  <c r="D19" i="1"/>
  <c r="D17" i="1"/>
  <c r="D18" i="1" s="1"/>
  <c r="D21" i="1" s="1"/>
  <c r="N15" i="1"/>
  <c r="N20" i="1" s="1"/>
  <c r="H14" i="1"/>
  <c r="H13" i="1"/>
  <c r="J12" i="1"/>
  <c r="H12" i="1"/>
  <c r="J11" i="1"/>
  <c r="J10" i="1"/>
  <c r="H10" i="1"/>
  <c r="H15" i="1" s="1"/>
  <c r="N9" i="1"/>
  <c r="L7" i="1"/>
  <c r="N6" i="1"/>
  <c r="D6" i="1"/>
  <c r="J13" i="1" l="1"/>
  <c r="J16" i="1" s="1"/>
  <c r="D11" i="2"/>
  <c r="D43" i="2"/>
  <c r="P9" i="2" s="1"/>
  <c r="P27" i="2" s="1"/>
  <c r="J3" i="6"/>
  <c r="D44" i="3"/>
  <c r="P9" i="3" s="1"/>
  <c r="P28" i="3" s="1"/>
  <c r="F4" i="4"/>
  <c r="H4" i="4" s="1"/>
  <c r="I4" i="4" s="1"/>
  <c r="K4" i="4" s="1"/>
  <c r="E9" i="8"/>
  <c r="F9" i="8" s="1"/>
  <c r="J9" i="8"/>
  <c r="J10" i="8" s="1"/>
  <c r="J11" i="8" s="1"/>
  <c r="J12" i="8" s="1"/>
  <c r="J13" i="8" s="1"/>
  <c r="J14" i="8" s="1"/>
  <c r="J15" i="8" s="1"/>
  <c r="J16" i="8" s="1"/>
  <c r="J17" i="8" s="1"/>
  <c r="P29" i="5"/>
  <c r="H9" i="2"/>
  <c r="I9" i="2" s="1"/>
  <c r="K9" i="2" s="1"/>
  <c r="E9" i="3"/>
  <c r="H9" i="3" s="1"/>
  <c r="Q29" i="6"/>
  <c r="H4" i="8"/>
  <c r="P29" i="8"/>
  <c r="I4" i="2"/>
  <c r="K4" i="2" s="1"/>
  <c r="G26" i="2"/>
  <c r="G24" i="2"/>
  <c r="G25" i="2" s="1"/>
  <c r="G25" i="3"/>
  <c r="G26" i="3" s="1"/>
  <c r="G27" i="3"/>
  <c r="D12" i="2"/>
  <c r="E11" i="2"/>
  <c r="J19" i="4"/>
  <c r="J20" i="4" s="1"/>
  <c r="J21" i="4" s="1"/>
  <c r="J22" i="4" s="1"/>
  <c r="J23" i="4" s="1"/>
  <c r="J24" i="4" s="1"/>
  <c r="J25" i="4" s="1"/>
  <c r="J26" i="4" s="1"/>
  <c r="J18" i="4"/>
  <c r="J27" i="4" s="1"/>
  <c r="J19" i="3"/>
  <c r="J20" i="3" s="1"/>
  <c r="J21" i="3" s="1"/>
  <c r="J22" i="3" s="1"/>
  <c r="J23" i="3" s="1"/>
  <c r="J24" i="3" s="1"/>
  <c r="J25" i="3" s="1"/>
  <c r="J26" i="3" s="1"/>
  <c r="J18" i="3"/>
  <c r="J27" i="3" s="1"/>
  <c r="H4" i="3"/>
  <c r="H16" i="1"/>
  <c r="H17" i="1" s="1"/>
  <c r="J17" i="1" s="1"/>
  <c r="E3" i="4"/>
  <c r="E10" i="2"/>
  <c r="F10" i="2" s="1"/>
  <c r="F9" i="3"/>
  <c r="G26" i="5"/>
  <c r="G27" i="5" s="1"/>
  <c r="G28" i="5"/>
  <c r="D11" i="6"/>
  <c r="E10" i="6"/>
  <c r="F10" i="6" s="1"/>
  <c r="H10" i="6" s="1"/>
  <c r="F4" i="3"/>
  <c r="E10" i="3"/>
  <c r="F10" i="3" s="1"/>
  <c r="E9" i="4"/>
  <c r="F9" i="4" s="1"/>
  <c r="G28" i="6"/>
  <c r="G26" i="6"/>
  <c r="G27" i="6" s="1"/>
  <c r="J18" i="8"/>
  <c r="J19" i="8"/>
  <c r="E3" i="2"/>
  <c r="J19" i="6"/>
  <c r="J18" i="6"/>
  <c r="G26" i="8"/>
  <c r="G27" i="8" s="1"/>
  <c r="G28" i="8"/>
  <c r="E3" i="6"/>
  <c r="F3" i="6" s="1"/>
  <c r="H3" i="6" s="1"/>
  <c r="F3" i="2"/>
  <c r="H3" i="2" s="1"/>
  <c r="D11" i="3"/>
  <c r="D10" i="4"/>
  <c r="I4" i="8"/>
  <c r="K4" i="8"/>
  <c r="G25" i="4"/>
  <c r="G26" i="4" s="1"/>
  <c r="G27" i="4"/>
  <c r="J19" i="5"/>
  <c r="J18" i="5"/>
  <c r="E3" i="3"/>
  <c r="F3" i="3" s="1"/>
  <c r="D11" i="5"/>
  <c r="E10" i="5"/>
  <c r="F10" i="5" s="1"/>
  <c r="H10" i="5" s="1"/>
  <c r="E10" i="8"/>
  <c r="F10" i="8" s="1"/>
  <c r="H10" i="8" s="1"/>
  <c r="D11" i="8"/>
  <c r="F33" i="9"/>
  <c r="F36" i="9" s="1"/>
  <c r="F38" i="9" s="1"/>
  <c r="F43" i="9" s="1"/>
  <c r="E3" i="5"/>
  <c r="F3" i="5" s="1"/>
  <c r="E9" i="6"/>
  <c r="F9" i="6" s="1"/>
  <c r="F3" i="8"/>
  <c r="H3" i="8" s="1"/>
  <c r="J3" i="5"/>
  <c r="E9" i="5"/>
  <c r="F4" i="6"/>
  <c r="F9" i="5"/>
  <c r="H9" i="5" s="1"/>
  <c r="H4" i="6"/>
  <c r="F4" i="5"/>
  <c r="H4" i="5" s="1"/>
  <c r="H10" i="2" l="1"/>
  <c r="H9" i="8"/>
  <c r="I9" i="8" s="1"/>
  <c r="K9" i="8" s="1"/>
  <c r="M9" i="8" s="1"/>
  <c r="H3" i="5"/>
  <c r="I3" i="5" s="1"/>
  <c r="K3" i="5" s="1"/>
  <c r="H3" i="3"/>
  <c r="I3" i="3" s="1"/>
  <c r="K3" i="3" s="1"/>
  <c r="I10" i="6"/>
  <c r="K10" i="6" s="1"/>
  <c r="M10" i="6" s="1"/>
  <c r="I10" i="8"/>
  <c r="K10" i="8" s="1"/>
  <c r="I3" i="2"/>
  <c r="K3" i="2" s="1"/>
  <c r="I10" i="5"/>
  <c r="K10" i="5" s="1"/>
  <c r="M10" i="5" s="1"/>
  <c r="H3" i="4"/>
  <c r="H11" i="2"/>
  <c r="I4" i="5"/>
  <c r="K4" i="5"/>
  <c r="I10" i="2"/>
  <c r="K10" i="2" s="1"/>
  <c r="I3" i="6"/>
  <c r="K3" i="6" s="1"/>
  <c r="M9" i="2"/>
  <c r="J20" i="8"/>
  <c r="J21" i="8" s="1"/>
  <c r="J22" i="8" s="1"/>
  <c r="J23" i="8" s="1"/>
  <c r="J24" i="8" s="1"/>
  <c r="J25" i="8" s="1"/>
  <c r="J26" i="8" s="1"/>
  <c r="J27" i="8" s="1"/>
  <c r="J28" i="8"/>
  <c r="J20" i="5"/>
  <c r="J21" i="5" s="1"/>
  <c r="J22" i="5" s="1"/>
  <c r="J23" i="5" s="1"/>
  <c r="J24" i="5" s="1"/>
  <c r="J25" i="5" s="1"/>
  <c r="J26" i="5" s="1"/>
  <c r="J27" i="5" s="1"/>
  <c r="J28" i="5"/>
  <c r="I3" i="8"/>
  <c r="K3" i="8" s="1"/>
  <c r="H9" i="4"/>
  <c r="I4" i="3"/>
  <c r="K4" i="3" s="1"/>
  <c r="D12" i="8"/>
  <c r="E11" i="8"/>
  <c r="H10" i="3"/>
  <c r="I4" i="6"/>
  <c r="K4" i="6" s="1"/>
  <c r="J28" i="6"/>
  <c r="J20" i="6"/>
  <c r="J21" i="6" s="1"/>
  <c r="J22" i="6" s="1"/>
  <c r="J23" i="6" s="1"/>
  <c r="J24" i="6" s="1"/>
  <c r="J25" i="6" s="1"/>
  <c r="J26" i="6" s="1"/>
  <c r="J27" i="6" s="1"/>
  <c r="I9" i="5"/>
  <c r="K9" i="5" s="1"/>
  <c r="I9" i="3"/>
  <c r="K9" i="3" s="1"/>
  <c r="H9" i="6"/>
  <c r="V9" i="8"/>
  <c r="N9" i="8"/>
  <c r="F3" i="4"/>
  <c r="E12" i="2"/>
  <c r="D13" i="2"/>
  <c r="F12" i="2"/>
  <c r="D12" i="3"/>
  <c r="E11" i="3"/>
  <c r="D12" i="6"/>
  <c r="E11" i="6"/>
  <c r="F11" i="2"/>
  <c r="D12" i="5"/>
  <c r="E11" i="5"/>
  <c r="D11" i="4"/>
  <c r="E10" i="4"/>
  <c r="F10" i="4" s="1"/>
  <c r="H12" i="2" l="1"/>
  <c r="I12" i="2" s="1"/>
  <c r="K12" i="2" s="1"/>
  <c r="M12" i="2" s="1"/>
  <c r="N12" i="2" s="1"/>
  <c r="S12" i="2" s="1"/>
  <c r="F11" i="5"/>
  <c r="H11" i="5" s="1"/>
  <c r="I11" i="5" s="1"/>
  <c r="K11" i="5" s="1"/>
  <c r="M10" i="8"/>
  <c r="M10" i="2"/>
  <c r="N10" i="2" s="1"/>
  <c r="M9" i="3"/>
  <c r="M9" i="5"/>
  <c r="V10" i="5"/>
  <c r="N10" i="5"/>
  <c r="S10" i="5" s="1"/>
  <c r="H11" i="6"/>
  <c r="V10" i="6"/>
  <c r="N10" i="6"/>
  <c r="S10" i="6" s="1"/>
  <c r="I3" i="4"/>
  <c r="K3" i="4" s="1"/>
  <c r="D12" i="4"/>
  <c r="E11" i="4"/>
  <c r="F11" i="8"/>
  <c r="H11" i="8" s="1"/>
  <c r="I9" i="6"/>
  <c r="K9" i="6" s="1"/>
  <c r="E12" i="6"/>
  <c r="F12" i="6" s="1"/>
  <c r="H12" i="6" s="1"/>
  <c r="D13" i="6"/>
  <c r="F11" i="3"/>
  <c r="H11" i="3" s="1"/>
  <c r="I11" i="2"/>
  <c r="K11" i="2" s="1"/>
  <c r="S9" i="8"/>
  <c r="F11" i="6"/>
  <c r="D13" i="8"/>
  <c r="E12" i="8"/>
  <c r="I9" i="4"/>
  <c r="K9" i="4" s="1"/>
  <c r="D13" i="5"/>
  <c r="E12" i="5"/>
  <c r="F12" i="5" s="1"/>
  <c r="I10" i="3"/>
  <c r="K10" i="3" s="1"/>
  <c r="V9" i="2"/>
  <c r="N9" i="2"/>
  <c r="H10" i="4"/>
  <c r="E13" i="2"/>
  <c r="F13" i="2" s="1"/>
  <c r="H13" i="2" s="1"/>
  <c r="D14" i="2"/>
  <c r="D13" i="3"/>
  <c r="E12" i="3"/>
  <c r="F12" i="3" s="1"/>
  <c r="I13" i="2" l="1"/>
  <c r="K13" i="2" s="1"/>
  <c r="I11" i="3"/>
  <c r="K11" i="3"/>
  <c r="M11" i="3" s="1"/>
  <c r="N11" i="3" s="1"/>
  <c r="S11" i="3" s="1"/>
  <c r="M11" i="2"/>
  <c r="I12" i="6"/>
  <c r="K12" i="6" s="1"/>
  <c r="M12" i="6" s="1"/>
  <c r="M10" i="3"/>
  <c r="M9" i="6"/>
  <c r="I11" i="8"/>
  <c r="K11" i="8" s="1"/>
  <c r="M11" i="5"/>
  <c r="N11" i="5" s="1"/>
  <c r="S11" i="5" s="1"/>
  <c r="H11" i="4"/>
  <c r="M9" i="4"/>
  <c r="E13" i="3"/>
  <c r="D14" i="3"/>
  <c r="D15" i="2"/>
  <c r="E14" i="2"/>
  <c r="D13" i="4"/>
  <c r="E12" i="4"/>
  <c r="F12" i="4" s="1"/>
  <c r="H12" i="4" s="1"/>
  <c r="D14" i="6"/>
  <c r="E13" i="6"/>
  <c r="F13" i="6" s="1"/>
  <c r="H13" i="6" s="1"/>
  <c r="F11" i="4"/>
  <c r="N9" i="3"/>
  <c r="V9" i="3"/>
  <c r="I11" i="6"/>
  <c r="K11" i="6" s="1"/>
  <c r="S10" i="2"/>
  <c r="V10" i="2"/>
  <c r="H12" i="5"/>
  <c r="F12" i="8"/>
  <c r="H12" i="8" s="1"/>
  <c r="V9" i="5"/>
  <c r="N9" i="5"/>
  <c r="I10" i="4"/>
  <c r="K10" i="4"/>
  <c r="M10" i="4" s="1"/>
  <c r="S9" i="2"/>
  <c r="D14" i="8"/>
  <c r="E13" i="8"/>
  <c r="V10" i="8"/>
  <c r="N10" i="8"/>
  <c r="D14" i="5"/>
  <c r="E13" i="5"/>
  <c r="H12" i="3"/>
  <c r="M11" i="6" l="1"/>
  <c r="N11" i="6" s="1"/>
  <c r="S11" i="6" s="1"/>
  <c r="M11" i="8"/>
  <c r="I13" i="6"/>
  <c r="K13" i="6" s="1"/>
  <c r="I12" i="4"/>
  <c r="K12" i="4" s="1"/>
  <c r="M12" i="4" s="1"/>
  <c r="N12" i="4" s="1"/>
  <c r="S12" i="4" s="1"/>
  <c r="M13" i="2"/>
  <c r="N13" i="2" s="1"/>
  <c r="S13" i="2" s="1"/>
  <c r="I12" i="3"/>
  <c r="K12" i="3" s="1"/>
  <c r="I11" i="4"/>
  <c r="K11" i="4" s="1"/>
  <c r="I12" i="5"/>
  <c r="K12" i="5" s="1"/>
  <c r="F13" i="8"/>
  <c r="H13" i="8" s="1"/>
  <c r="F13" i="5"/>
  <c r="H13" i="5" s="1"/>
  <c r="N11" i="2"/>
  <c r="S11" i="2" s="1"/>
  <c r="S9" i="3"/>
  <c r="I12" i="8"/>
  <c r="K12" i="8" s="1"/>
  <c r="N10" i="3"/>
  <c r="S10" i="3" s="1"/>
  <c r="V10" i="3"/>
  <c r="V9" i="4"/>
  <c r="N9" i="4"/>
  <c r="E13" i="4"/>
  <c r="F13" i="4"/>
  <c r="D14" i="4"/>
  <c r="D15" i="5"/>
  <c r="E14" i="5"/>
  <c r="F14" i="5" s="1"/>
  <c r="D16" i="2"/>
  <c r="E15" i="2"/>
  <c r="F13" i="3"/>
  <c r="H13" i="3" s="1"/>
  <c r="V10" i="4"/>
  <c r="N10" i="4"/>
  <c r="S10" i="4" s="1"/>
  <c r="H14" i="2"/>
  <c r="S10" i="8"/>
  <c r="D15" i="3"/>
  <c r="E14" i="3"/>
  <c r="F14" i="3" s="1"/>
  <c r="H14" i="3" s="1"/>
  <c r="N9" i="6"/>
  <c r="V9" i="6"/>
  <c r="D15" i="8"/>
  <c r="E14" i="8"/>
  <c r="F14" i="8" s="1"/>
  <c r="S9" i="5"/>
  <c r="D15" i="6"/>
  <c r="E14" i="6"/>
  <c r="H13" i="4" l="1"/>
  <c r="F15" i="2"/>
  <c r="H15" i="2" s="1"/>
  <c r="I15" i="2" s="1"/>
  <c r="K15" i="2" s="1"/>
  <c r="M15" i="2" s="1"/>
  <c r="N15" i="2" s="1"/>
  <c r="S15" i="2" s="1"/>
  <c r="I13" i="8"/>
  <c r="K13" i="8" s="1"/>
  <c r="M11" i="4"/>
  <c r="I14" i="3"/>
  <c r="K14" i="3" s="1"/>
  <c r="M14" i="3" s="1"/>
  <c r="N14" i="3" s="1"/>
  <c r="S14" i="3" s="1"/>
  <c r="I13" i="4"/>
  <c r="K13" i="4" s="1"/>
  <c r="H14" i="6"/>
  <c r="M12" i="8"/>
  <c r="N12" i="8" s="1"/>
  <c r="S12" i="8" s="1"/>
  <c r="M12" i="5"/>
  <c r="M12" i="3"/>
  <c r="I13" i="3"/>
  <c r="K13" i="3" s="1"/>
  <c r="M13" i="6"/>
  <c r="H14" i="5"/>
  <c r="D16" i="8"/>
  <c r="E15" i="8"/>
  <c r="F15" i="8" s="1"/>
  <c r="H15" i="8" s="1"/>
  <c r="D15" i="4"/>
  <c r="E14" i="4"/>
  <c r="I13" i="5"/>
  <c r="K13" i="5" s="1"/>
  <c r="I14" i="2"/>
  <c r="K14" i="2" s="1"/>
  <c r="F14" i="6"/>
  <c r="D16" i="6"/>
  <c r="E15" i="6"/>
  <c r="F15" i="6" s="1"/>
  <c r="N11" i="8"/>
  <c r="H14" i="8"/>
  <c r="D17" i="2"/>
  <c r="E16" i="2"/>
  <c r="F16" i="2" s="1"/>
  <c r="S9" i="4"/>
  <c r="D16" i="5"/>
  <c r="E15" i="5"/>
  <c r="F15" i="5" s="1"/>
  <c r="H15" i="5" s="1"/>
  <c r="S9" i="6"/>
  <c r="D16" i="3"/>
  <c r="E15" i="3"/>
  <c r="M13" i="3" l="1"/>
  <c r="N13" i="3" s="1"/>
  <c r="S13" i="3" s="1"/>
  <c r="M13" i="5"/>
  <c r="N13" i="5" s="1"/>
  <c r="S13" i="5" s="1"/>
  <c r="I15" i="8"/>
  <c r="K15" i="8" s="1"/>
  <c r="M15" i="8" s="1"/>
  <c r="N15" i="8" s="1"/>
  <c r="S15" i="8" s="1"/>
  <c r="M14" i="2"/>
  <c r="N14" i="2" s="1"/>
  <c r="I15" i="5"/>
  <c r="K15" i="5" s="1"/>
  <c r="M15" i="5" s="1"/>
  <c r="N15" i="5" s="1"/>
  <c r="S15" i="5" s="1"/>
  <c r="M13" i="4"/>
  <c r="N13" i="4" s="1"/>
  <c r="S13" i="4" s="1"/>
  <c r="M13" i="8"/>
  <c r="N13" i="8" s="1"/>
  <c r="S13" i="8" s="1"/>
  <c r="F15" i="3"/>
  <c r="H15" i="3" s="1"/>
  <c r="H16" i="2"/>
  <c r="F14" i="4"/>
  <c r="H14" i="4" s="1"/>
  <c r="D17" i="3"/>
  <c r="E16" i="3"/>
  <c r="F16" i="3" s="1"/>
  <c r="H16" i="3" s="1"/>
  <c r="D16" i="4"/>
  <c r="E15" i="4"/>
  <c r="F15" i="4" s="1"/>
  <c r="H15" i="4" s="1"/>
  <c r="I14" i="8"/>
  <c r="K14" i="8"/>
  <c r="M14" i="8" s="1"/>
  <c r="N14" i="8" s="1"/>
  <c r="S14" i="8" s="1"/>
  <c r="H15" i="6"/>
  <c r="I14" i="6"/>
  <c r="K14" i="6" s="1"/>
  <c r="I14" i="5"/>
  <c r="K14" i="5" s="1"/>
  <c r="N12" i="3"/>
  <c r="N11" i="4"/>
  <c r="D17" i="6"/>
  <c r="E16" i="6"/>
  <c r="S11" i="8"/>
  <c r="N13" i="6"/>
  <c r="D18" i="2"/>
  <c r="E17" i="2"/>
  <c r="F17" i="2"/>
  <c r="E16" i="8"/>
  <c r="F16" i="8" s="1"/>
  <c r="H16" i="8" s="1"/>
  <c r="D17" i="8"/>
  <c r="D17" i="5"/>
  <c r="E16" i="5"/>
  <c r="F16" i="5" s="1"/>
  <c r="N12" i="5"/>
  <c r="H17" i="2" l="1"/>
  <c r="I16" i="8"/>
  <c r="K16" i="8" s="1"/>
  <c r="M16" i="8" s="1"/>
  <c r="I15" i="3"/>
  <c r="K15" i="3" s="1"/>
  <c r="M14" i="6"/>
  <c r="I14" i="4"/>
  <c r="K14" i="4" s="1"/>
  <c r="I15" i="4"/>
  <c r="K15" i="4" s="1"/>
  <c r="M15" i="4" s="1"/>
  <c r="N15" i="4" s="1"/>
  <c r="S15" i="4" s="1"/>
  <c r="M14" i="5"/>
  <c r="I17" i="2"/>
  <c r="K17" i="2" s="1"/>
  <c r="M17" i="2" s="1"/>
  <c r="I16" i="3"/>
  <c r="K16" i="3" s="1"/>
  <c r="M16" i="3" s="1"/>
  <c r="E17" i="6"/>
  <c r="F17" i="6" s="1"/>
  <c r="H17" i="6" s="1"/>
  <c r="D19" i="6"/>
  <c r="D18" i="6"/>
  <c r="S12" i="5"/>
  <c r="F16" i="6"/>
  <c r="H16" i="6" s="1"/>
  <c r="I16" i="2"/>
  <c r="K16" i="2" s="1"/>
  <c r="M16" i="2" s="1"/>
  <c r="H16" i="5"/>
  <c r="E17" i="3"/>
  <c r="D18" i="3"/>
  <c r="D19" i="3"/>
  <c r="I15" i="6"/>
  <c r="K15" i="6" s="1"/>
  <c r="M15" i="6" s="1"/>
  <c r="N15" i="6" s="1"/>
  <c r="S15" i="6" s="1"/>
  <c r="S11" i="4"/>
  <c r="D19" i="2"/>
  <c r="E18" i="2"/>
  <c r="F18" i="2" s="1"/>
  <c r="H18" i="2" s="1"/>
  <c r="S13" i="6"/>
  <c r="S12" i="3"/>
  <c r="D19" i="5"/>
  <c r="D18" i="5"/>
  <c r="E17" i="5"/>
  <c r="F17" i="5" s="1"/>
  <c r="E16" i="4"/>
  <c r="F16" i="4"/>
  <c r="H16" i="4" s="1"/>
  <c r="D17" i="4"/>
  <c r="D19" i="8"/>
  <c r="D18" i="8"/>
  <c r="E17" i="8"/>
  <c r="V16" i="3" l="1"/>
  <c r="N16" i="3"/>
  <c r="S16" i="3" s="1"/>
  <c r="I17" i="6"/>
  <c r="K17" i="6" s="1"/>
  <c r="M17" i="6" s="1"/>
  <c r="N17" i="6" s="1"/>
  <c r="S17" i="6" s="1"/>
  <c r="N17" i="2"/>
  <c r="S17" i="2" s="1"/>
  <c r="I18" i="2"/>
  <c r="K18" i="2" s="1"/>
  <c r="M18" i="2" s="1"/>
  <c r="M15" i="3"/>
  <c r="I16" i="4"/>
  <c r="K16" i="4"/>
  <c r="M16" i="4" s="1"/>
  <c r="M14" i="4"/>
  <c r="N16" i="8"/>
  <c r="V16" i="8"/>
  <c r="I16" i="6"/>
  <c r="K16" i="6"/>
  <c r="E19" i="5"/>
  <c r="F19" i="5" s="1"/>
  <c r="H19" i="5" s="1"/>
  <c r="D28" i="5"/>
  <c r="E18" i="5"/>
  <c r="D20" i="5"/>
  <c r="F17" i="3"/>
  <c r="H17" i="3" s="1"/>
  <c r="E19" i="8"/>
  <c r="F19" i="8" s="1"/>
  <c r="H19" i="8" s="1"/>
  <c r="N14" i="6"/>
  <c r="S14" i="2"/>
  <c r="I16" i="5"/>
  <c r="K16" i="5" s="1"/>
  <c r="M16" i="5" s="1"/>
  <c r="D20" i="8"/>
  <c r="D28" i="8"/>
  <c r="E18" i="8"/>
  <c r="F18" i="8" s="1"/>
  <c r="V16" i="2"/>
  <c r="N16" i="2"/>
  <c r="S16" i="2" s="1"/>
  <c r="D20" i="3"/>
  <c r="E19" i="3"/>
  <c r="F19" i="3" s="1"/>
  <c r="D20" i="2"/>
  <c r="E19" i="2"/>
  <c r="H17" i="5"/>
  <c r="D18" i="4"/>
  <c r="D19" i="4"/>
  <c r="E17" i="4"/>
  <c r="D27" i="3"/>
  <c r="E18" i="3"/>
  <c r="F18" i="3" s="1"/>
  <c r="D20" i="6"/>
  <c r="D28" i="6"/>
  <c r="E18" i="6"/>
  <c r="E19" i="6"/>
  <c r="F19" i="6" s="1"/>
  <c r="F17" i="8"/>
  <c r="H17" i="8" s="1"/>
  <c r="N14" i="5"/>
  <c r="I19" i="8" l="1"/>
  <c r="K19" i="8" s="1"/>
  <c r="M19" i="8" s="1"/>
  <c r="I17" i="8"/>
  <c r="K17" i="8" s="1"/>
  <c r="M17" i="8" s="1"/>
  <c r="N17" i="8" s="1"/>
  <c r="S17" i="8" s="1"/>
  <c r="N16" i="5"/>
  <c r="S16" i="5" s="1"/>
  <c r="V16" i="5"/>
  <c r="I17" i="3"/>
  <c r="K17" i="3" s="1"/>
  <c r="M17" i="3" s="1"/>
  <c r="N17" i="3" s="1"/>
  <c r="S17" i="3" s="1"/>
  <c r="N18" i="2"/>
  <c r="S18" i="2" s="1"/>
  <c r="V18" i="2"/>
  <c r="I19" i="5"/>
  <c r="K19" i="5" s="1"/>
  <c r="M19" i="5" s="1"/>
  <c r="S14" i="5"/>
  <c r="E27" i="3"/>
  <c r="F27" i="3"/>
  <c r="H27" i="3"/>
  <c r="H18" i="8"/>
  <c r="S14" i="6"/>
  <c r="N15" i="3"/>
  <c r="H19" i="6"/>
  <c r="F18" i="5"/>
  <c r="H18" i="5" s="1"/>
  <c r="M16" i="6"/>
  <c r="S16" i="8"/>
  <c r="H19" i="3"/>
  <c r="I17" i="5"/>
  <c r="K17" i="5" s="1"/>
  <c r="M17" i="5" s="1"/>
  <c r="N17" i="5" s="1"/>
  <c r="F19" i="2"/>
  <c r="H19" i="2" s="1"/>
  <c r="D21" i="5"/>
  <c r="E20" i="5"/>
  <c r="D21" i="8"/>
  <c r="E20" i="8"/>
  <c r="F20" i="8" s="1"/>
  <c r="H20" i="8" s="1"/>
  <c r="F18" i="6"/>
  <c r="H18" i="6" s="1"/>
  <c r="E19" i="4"/>
  <c r="F19" i="4" s="1"/>
  <c r="H19" i="4" s="1"/>
  <c r="D20" i="4"/>
  <c r="F17" i="4"/>
  <c r="H17" i="4" s="1"/>
  <c r="D21" i="3"/>
  <c r="E20" i="3"/>
  <c r="F20" i="3" s="1"/>
  <c r="E28" i="5"/>
  <c r="F28" i="5"/>
  <c r="H28" i="5" s="1"/>
  <c r="N14" i="4"/>
  <c r="H18" i="3"/>
  <c r="E20" i="2"/>
  <c r="F20" i="2" s="1"/>
  <c r="H20" i="2" s="1"/>
  <c r="D21" i="2"/>
  <c r="V16" i="4"/>
  <c r="N16" i="4"/>
  <c r="S16" i="4" s="1"/>
  <c r="E28" i="8"/>
  <c r="F28" i="8" s="1"/>
  <c r="H28" i="8" s="1"/>
  <c r="E28" i="6"/>
  <c r="F28" i="6" s="1"/>
  <c r="E18" i="4"/>
  <c r="F18" i="4" s="1"/>
  <c r="D27" i="4"/>
  <c r="D21" i="6"/>
  <c r="E20" i="6"/>
  <c r="F20" i="6" s="1"/>
  <c r="I19" i="2" l="1"/>
  <c r="K19" i="2"/>
  <c r="M19" i="2" s="1"/>
  <c r="I28" i="8"/>
  <c r="K28" i="8" s="1"/>
  <c r="I17" i="4"/>
  <c r="K17" i="4" s="1"/>
  <c r="S17" i="5"/>
  <c r="I19" i="4"/>
  <c r="K19" i="4" s="1"/>
  <c r="M19" i="4" s="1"/>
  <c r="V19" i="5"/>
  <c r="N19" i="5"/>
  <c r="S19" i="5" s="1"/>
  <c r="I20" i="2"/>
  <c r="K20" i="2" s="1"/>
  <c r="M20" i="2" s="1"/>
  <c r="N20" i="2" s="1"/>
  <c r="S20" i="2" s="1"/>
  <c r="I18" i="5"/>
  <c r="K18" i="5"/>
  <c r="M18" i="5" s="1"/>
  <c r="N18" i="5" s="1"/>
  <c r="S18" i="5" s="1"/>
  <c r="I18" i="6"/>
  <c r="K18" i="6" s="1"/>
  <c r="M18" i="6" s="1"/>
  <c r="I20" i="8"/>
  <c r="K20" i="8" s="1"/>
  <c r="M20" i="8" s="1"/>
  <c r="V19" i="8"/>
  <c r="N19" i="8"/>
  <c r="S19" i="8" s="1"/>
  <c r="D22" i="8"/>
  <c r="E21" i="8"/>
  <c r="D22" i="3"/>
  <c r="E21" i="3"/>
  <c r="F21" i="3" s="1"/>
  <c r="H18" i="4"/>
  <c r="D22" i="2"/>
  <c r="E21" i="2"/>
  <c r="D22" i="5"/>
  <c r="E21" i="5"/>
  <c r="F21" i="5" s="1"/>
  <c r="I19" i="6"/>
  <c r="K19" i="6" s="1"/>
  <c r="M19" i="6" s="1"/>
  <c r="H28" i="6"/>
  <c r="H20" i="3"/>
  <c r="S15" i="3"/>
  <c r="D21" i="4"/>
  <c r="E20" i="4"/>
  <c r="E21" i="6"/>
  <c r="F21" i="6" s="1"/>
  <c r="H21" i="6" s="1"/>
  <c r="D22" i="6"/>
  <c r="H20" i="6"/>
  <c r="F20" i="5"/>
  <c r="H20" i="5" s="1"/>
  <c r="I18" i="3"/>
  <c r="K18" i="3" s="1"/>
  <c r="M18" i="3" s="1"/>
  <c r="N18" i="3" s="1"/>
  <c r="I28" i="5"/>
  <c r="K28" i="5" s="1"/>
  <c r="I19" i="3"/>
  <c r="K19" i="3" s="1"/>
  <c r="M19" i="3" s="1"/>
  <c r="I27" i="3"/>
  <c r="K27" i="3" s="1"/>
  <c r="V16" i="6"/>
  <c r="N16" i="6"/>
  <c r="S14" i="4"/>
  <c r="E27" i="4"/>
  <c r="F27" i="4" s="1"/>
  <c r="H27" i="4" s="1"/>
  <c r="I18" i="8"/>
  <c r="K18" i="8" s="1"/>
  <c r="M18" i="8" s="1"/>
  <c r="N18" i="8" s="1"/>
  <c r="S18" i="8" s="1"/>
  <c r="I21" i="6" l="1"/>
  <c r="K21" i="6" s="1"/>
  <c r="M21" i="6" s="1"/>
  <c r="N18" i="6"/>
  <c r="S18" i="6" s="1"/>
  <c r="I27" i="4"/>
  <c r="K27" i="4" s="1"/>
  <c r="H20" i="4"/>
  <c r="M28" i="8"/>
  <c r="I20" i="5"/>
  <c r="K20" i="5" s="1"/>
  <c r="M20" i="5" s="1"/>
  <c r="N19" i="4"/>
  <c r="S19" i="4" s="1"/>
  <c r="V19" i="4"/>
  <c r="M17" i="4"/>
  <c r="M27" i="3"/>
  <c r="N19" i="3"/>
  <c r="S19" i="3" s="1"/>
  <c r="V19" i="3"/>
  <c r="S18" i="3"/>
  <c r="M28" i="5"/>
  <c r="V19" i="6"/>
  <c r="N19" i="6"/>
  <c r="S19" i="6" s="1"/>
  <c r="N20" i="8"/>
  <c r="S20" i="8" s="1"/>
  <c r="V20" i="8"/>
  <c r="I28" i="6"/>
  <c r="K28" i="6" s="1"/>
  <c r="D23" i="3"/>
  <c r="E22" i="3"/>
  <c r="F22" i="3" s="1"/>
  <c r="H22" i="3" s="1"/>
  <c r="H21" i="3"/>
  <c r="H21" i="5"/>
  <c r="I20" i="3"/>
  <c r="K20" i="3" s="1"/>
  <c r="D23" i="5"/>
  <c r="E22" i="5"/>
  <c r="F22" i="5" s="1"/>
  <c r="H22" i="5" s="1"/>
  <c r="F20" i="4"/>
  <c r="F21" i="8"/>
  <c r="H21" i="8" s="1"/>
  <c r="I20" i="6"/>
  <c r="K20" i="6" s="1"/>
  <c r="M20" i="6" s="1"/>
  <c r="D23" i="6"/>
  <c r="E22" i="6"/>
  <c r="F22" i="6" s="1"/>
  <c r="F21" i="2"/>
  <c r="H21" i="2" s="1"/>
  <c r="D23" i="8"/>
  <c r="E22" i="8"/>
  <c r="I18" i="4"/>
  <c r="K18" i="4" s="1"/>
  <c r="M18" i="4" s="1"/>
  <c r="N18" i="4" s="1"/>
  <c r="S18" i="4" s="1"/>
  <c r="S16" i="6"/>
  <c r="D23" i="2"/>
  <c r="F22" i="2"/>
  <c r="H22" i="2" s="1"/>
  <c r="E22" i="2"/>
  <c r="V19" i="2"/>
  <c r="N19" i="2"/>
  <c r="D22" i="4"/>
  <c r="E21" i="4"/>
  <c r="F22" i="8" l="1"/>
  <c r="H22" i="8" s="1"/>
  <c r="I21" i="2"/>
  <c r="K21" i="2" s="1"/>
  <c r="M21" i="2" s="1"/>
  <c r="N21" i="2" s="1"/>
  <c r="S21" i="2" s="1"/>
  <c r="I22" i="3"/>
  <c r="K22" i="3" s="1"/>
  <c r="M22" i="3" s="1"/>
  <c r="N22" i="3" s="1"/>
  <c r="S22" i="3" s="1"/>
  <c r="M28" i="6"/>
  <c r="I22" i="5"/>
  <c r="K22" i="5"/>
  <c r="M22" i="5" s="1"/>
  <c r="N22" i="5" s="1"/>
  <c r="S22" i="5" s="1"/>
  <c r="I22" i="2"/>
  <c r="K22" i="2" s="1"/>
  <c r="M22" i="2" s="1"/>
  <c r="M27" i="4"/>
  <c r="N27" i="4" s="1"/>
  <c r="S27" i="4" s="1"/>
  <c r="V20" i="6"/>
  <c r="N20" i="6"/>
  <c r="M20" i="3"/>
  <c r="N21" i="6"/>
  <c r="S21" i="6" s="1"/>
  <c r="V21" i="6"/>
  <c r="I21" i="8"/>
  <c r="K21" i="8" s="1"/>
  <c r="N20" i="5"/>
  <c r="V20" i="5"/>
  <c r="N28" i="8"/>
  <c r="I20" i="4"/>
  <c r="K20" i="4" s="1"/>
  <c r="D24" i="6"/>
  <c r="E23" i="6"/>
  <c r="F23" i="6" s="1"/>
  <c r="H23" i="6" s="1"/>
  <c r="I21" i="5"/>
  <c r="K21" i="5" s="1"/>
  <c r="H22" i="6"/>
  <c r="N27" i="3"/>
  <c r="E23" i="3"/>
  <c r="F23" i="3"/>
  <c r="H23" i="3"/>
  <c r="D24" i="3"/>
  <c r="N17" i="4"/>
  <c r="E23" i="2"/>
  <c r="F23" i="2" s="1"/>
  <c r="H23" i="2" s="1"/>
  <c r="D24" i="2"/>
  <c r="S19" i="2"/>
  <c r="I21" i="3"/>
  <c r="K21" i="3" s="1"/>
  <c r="F21" i="4"/>
  <c r="H21" i="4" s="1"/>
  <c r="D24" i="5"/>
  <c r="E23" i="5"/>
  <c r="D23" i="4"/>
  <c r="E22" i="4"/>
  <c r="F22" i="4" s="1"/>
  <c r="H22" i="4" s="1"/>
  <c r="D24" i="8"/>
  <c r="E23" i="8"/>
  <c r="N28" i="5"/>
  <c r="S28" i="5" s="1"/>
  <c r="I22" i="8" l="1"/>
  <c r="K22" i="8"/>
  <c r="M22" i="8" s="1"/>
  <c r="N22" i="8" s="1"/>
  <c r="S22" i="8" s="1"/>
  <c r="M21" i="3"/>
  <c r="M21" i="5"/>
  <c r="I23" i="2"/>
  <c r="K23" i="2" s="1"/>
  <c r="M23" i="2" s="1"/>
  <c r="M21" i="8"/>
  <c r="I22" i="4"/>
  <c r="K22" i="4" s="1"/>
  <c r="M22" i="4" s="1"/>
  <c r="N22" i="4" s="1"/>
  <c r="S22" i="4" s="1"/>
  <c r="M20" i="4"/>
  <c r="I23" i="6"/>
  <c r="K23" i="6" s="1"/>
  <c r="M23" i="6" s="1"/>
  <c r="N23" i="6" s="1"/>
  <c r="S23" i="6" s="1"/>
  <c r="D24" i="4"/>
  <c r="E23" i="4"/>
  <c r="F23" i="4" s="1"/>
  <c r="D25" i="3"/>
  <c r="E24" i="3"/>
  <c r="F24" i="3" s="1"/>
  <c r="H24" i="3" s="1"/>
  <c r="I23" i="3"/>
  <c r="K23" i="3" s="1"/>
  <c r="V22" i="2"/>
  <c r="N22" i="2"/>
  <c r="S22" i="2" s="1"/>
  <c r="D25" i="2"/>
  <c r="E24" i="2"/>
  <c r="F24" i="2" s="1"/>
  <c r="D25" i="6"/>
  <c r="E24" i="6"/>
  <c r="F24" i="6" s="1"/>
  <c r="H24" i="6" s="1"/>
  <c r="E24" i="5"/>
  <c r="F24" i="5" s="1"/>
  <c r="H24" i="5" s="1"/>
  <c r="D25" i="5"/>
  <c r="I22" i="6"/>
  <c r="K22" i="6" s="1"/>
  <c r="F23" i="5"/>
  <c r="H23" i="5" s="1"/>
  <c r="N28" i="6"/>
  <c r="S28" i="6" s="1"/>
  <c r="S28" i="8"/>
  <c r="V20" i="3"/>
  <c r="N20" i="3"/>
  <c r="S20" i="3" s="1"/>
  <c r="E24" i="8"/>
  <c r="F24" i="8" s="1"/>
  <c r="H24" i="8" s="1"/>
  <c r="D25" i="8"/>
  <c r="S17" i="4"/>
  <c r="S20" i="6"/>
  <c r="S27" i="3"/>
  <c r="I21" i="4"/>
  <c r="K21" i="4" s="1"/>
  <c r="F23" i="8"/>
  <c r="H23" i="8" s="1"/>
  <c r="S20" i="5"/>
  <c r="M22" i="6" l="1"/>
  <c r="I24" i="3"/>
  <c r="K24" i="3" s="1"/>
  <c r="I24" i="5"/>
  <c r="I25" i="5" s="1"/>
  <c r="I26" i="5" s="1"/>
  <c r="I27" i="5" s="1"/>
  <c r="I23" i="5"/>
  <c r="K23" i="5" s="1"/>
  <c r="M21" i="4"/>
  <c r="N21" i="4" s="1"/>
  <c r="S21" i="4" s="1"/>
  <c r="I24" i="6"/>
  <c r="I25" i="6" s="1"/>
  <c r="I26" i="6" s="1"/>
  <c r="I27" i="6" s="1"/>
  <c r="K24" i="6"/>
  <c r="M24" i="6" s="1"/>
  <c r="I24" i="8"/>
  <c r="I25" i="8" s="1"/>
  <c r="I26" i="8" s="1"/>
  <c r="I27" i="8" s="1"/>
  <c r="V23" i="2"/>
  <c r="N23" i="2"/>
  <c r="S23" i="2" s="1"/>
  <c r="M23" i="3"/>
  <c r="D26" i="3"/>
  <c r="E25" i="3"/>
  <c r="H24" i="2"/>
  <c r="N21" i="8"/>
  <c r="V21" i="8"/>
  <c r="D26" i="6"/>
  <c r="E25" i="6"/>
  <c r="F25" i="6" s="1"/>
  <c r="H25" i="6" s="1"/>
  <c r="K25" i="6" s="1"/>
  <c r="M25" i="6" s="1"/>
  <c r="D25" i="4"/>
  <c r="E24" i="4"/>
  <c r="F24" i="4" s="1"/>
  <c r="D26" i="2"/>
  <c r="E25" i="2"/>
  <c r="I23" i="8"/>
  <c r="K23" i="8" s="1"/>
  <c r="H23" i="4"/>
  <c r="N21" i="5"/>
  <c r="S21" i="5" s="1"/>
  <c r="V21" i="5"/>
  <c r="D26" i="8"/>
  <c r="E25" i="8"/>
  <c r="D26" i="5"/>
  <c r="E25" i="5"/>
  <c r="N20" i="4"/>
  <c r="V20" i="4"/>
  <c r="N21" i="3"/>
  <c r="M23" i="8" l="1"/>
  <c r="M24" i="3"/>
  <c r="V25" i="6"/>
  <c r="N25" i="6"/>
  <c r="S25" i="6" s="1"/>
  <c r="M23" i="5"/>
  <c r="F25" i="5"/>
  <c r="H25" i="5" s="1"/>
  <c r="K25" i="5" s="1"/>
  <c r="M25" i="5" s="1"/>
  <c r="D27" i="5"/>
  <c r="E26" i="5"/>
  <c r="F26" i="5" s="1"/>
  <c r="D26" i="4"/>
  <c r="E25" i="4"/>
  <c r="F25" i="4" s="1"/>
  <c r="H25" i="4" s="1"/>
  <c r="H24" i="4"/>
  <c r="S21" i="3"/>
  <c r="K24" i="5"/>
  <c r="M24" i="5" s="1"/>
  <c r="F25" i="8"/>
  <c r="H25" i="8" s="1"/>
  <c r="K25" i="8" s="1"/>
  <c r="M25" i="8" s="1"/>
  <c r="D27" i="6"/>
  <c r="E26" i="6"/>
  <c r="F25" i="3"/>
  <c r="H25" i="3" s="1"/>
  <c r="D27" i="8"/>
  <c r="E26" i="8"/>
  <c r="F26" i="8" s="1"/>
  <c r="H26" i="8" s="1"/>
  <c r="K26" i="8" s="1"/>
  <c r="M26" i="8" s="1"/>
  <c r="F25" i="2"/>
  <c r="H25" i="2" s="1"/>
  <c r="S20" i="4"/>
  <c r="K24" i="8"/>
  <c r="M24" i="8" s="1"/>
  <c r="E26" i="3"/>
  <c r="F26" i="3" s="1"/>
  <c r="V23" i="3"/>
  <c r="N23" i="3"/>
  <c r="S23" i="3" s="1"/>
  <c r="E26" i="2"/>
  <c r="F26" i="2" s="1"/>
  <c r="H26" i="2" s="1"/>
  <c r="S21" i="8"/>
  <c r="V24" i="6"/>
  <c r="N24" i="6"/>
  <c r="S24" i="6" s="1"/>
  <c r="I23" i="4"/>
  <c r="K23" i="4" s="1"/>
  <c r="I24" i="2"/>
  <c r="K24" i="2" s="1"/>
  <c r="M24" i="2" s="1"/>
  <c r="N22" i="6"/>
  <c r="S22" i="6" s="1"/>
  <c r="N24" i="2" l="1"/>
  <c r="S24" i="2" s="1"/>
  <c r="V24" i="2"/>
  <c r="M23" i="4"/>
  <c r="V26" i="8"/>
  <c r="N26" i="8"/>
  <c r="S26" i="8" s="1"/>
  <c r="I25" i="2"/>
  <c r="K25" i="2" s="1"/>
  <c r="M25" i="2" s="1"/>
  <c r="I26" i="2"/>
  <c r="K26" i="2" s="1"/>
  <c r="I25" i="4"/>
  <c r="K25" i="4" s="1"/>
  <c r="M25" i="4" s="1"/>
  <c r="F26" i="6"/>
  <c r="H26" i="6" s="1"/>
  <c r="K26" i="6" s="1"/>
  <c r="N23" i="5"/>
  <c r="S23" i="5" s="1"/>
  <c r="N24" i="8"/>
  <c r="S24" i="8" s="1"/>
  <c r="V24" i="8"/>
  <c r="N24" i="3"/>
  <c r="V24" i="3"/>
  <c r="N25" i="8"/>
  <c r="S25" i="8" s="1"/>
  <c r="V25" i="8"/>
  <c r="N25" i="5"/>
  <c r="S25" i="5" s="1"/>
  <c r="V25" i="5"/>
  <c r="I25" i="3"/>
  <c r="K25" i="3" s="1"/>
  <c r="M25" i="3" s="1"/>
  <c r="E27" i="8"/>
  <c r="F27" i="8" s="1"/>
  <c r="I24" i="4"/>
  <c r="K24" i="4" s="1"/>
  <c r="H26" i="3"/>
  <c r="E27" i="6"/>
  <c r="F27" i="6" s="1"/>
  <c r="H27" i="6" s="1"/>
  <c r="K27" i="6" s="1"/>
  <c r="M27" i="6" s="1"/>
  <c r="V24" i="5"/>
  <c r="N24" i="5"/>
  <c r="S24" i="5" s="1"/>
  <c r="H26" i="5"/>
  <c r="K26" i="5" s="1"/>
  <c r="E26" i="4"/>
  <c r="F26" i="4"/>
  <c r="H26" i="4" s="1"/>
  <c r="E27" i="5"/>
  <c r="N23" i="8"/>
  <c r="F27" i="5" l="1"/>
  <c r="H27" i="5" s="1"/>
  <c r="K27" i="5" s="1"/>
  <c r="V25" i="3"/>
  <c r="N25" i="3"/>
  <c r="S25" i="3" s="1"/>
  <c r="I26" i="4"/>
  <c r="K26" i="4" s="1"/>
  <c r="M24" i="4"/>
  <c r="N25" i="2"/>
  <c r="S25" i="2" s="1"/>
  <c r="V25" i="2"/>
  <c r="V27" i="2" s="1"/>
  <c r="N27" i="6"/>
  <c r="V27" i="6"/>
  <c r="M26" i="6"/>
  <c r="K29" i="6"/>
  <c r="M26" i="2"/>
  <c r="K27" i="2"/>
  <c r="M26" i="5"/>
  <c r="V25" i="4"/>
  <c r="N25" i="4"/>
  <c r="S25" i="4" s="1"/>
  <c r="I26" i="3"/>
  <c r="K26" i="3" s="1"/>
  <c r="H27" i="8"/>
  <c r="K27" i="8" s="1"/>
  <c r="S23" i="8"/>
  <c r="V23" i="4"/>
  <c r="N23" i="4"/>
  <c r="S23" i="4" s="1"/>
  <c r="S24" i="3"/>
  <c r="M27" i="5" l="1"/>
  <c r="K29" i="5"/>
  <c r="M26" i="3"/>
  <c r="K28" i="3"/>
  <c r="M26" i="4"/>
  <c r="K28" i="4"/>
  <c r="V29" i="6"/>
  <c r="V26" i="5"/>
  <c r="N26" i="5"/>
  <c r="S26" i="5" s="1"/>
  <c r="M29" i="5"/>
  <c r="N26" i="2"/>
  <c r="M27" i="2"/>
  <c r="N26" i="6"/>
  <c r="S26" i="6" s="1"/>
  <c r="V26" i="6"/>
  <c r="M29" i="6"/>
  <c r="S27" i="6"/>
  <c r="N29" i="6"/>
  <c r="N31" i="6" s="1"/>
  <c r="V24" i="4"/>
  <c r="N24" i="4"/>
  <c r="S24" i="4" s="1"/>
  <c r="M27" i="8"/>
  <c r="K29" i="8"/>
  <c r="N27" i="5" l="1"/>
  <c r="S27" i="5" s="1"/>
  <c r="S29" i="5" s="1"/>
  <c r="V27" i="5"/>
  <c r="V29" i="5" s="1"/>
  <c r="N29" i="5"/>
  <c r="N31" i="5" s="1"/>
  <c r="V27" i="8"/>
  <c r="V29" i="8" s="1"/>
  <c r="N27" i="8"/>
  <c r="M29" i="8"/>
  <c r="S29" i="6"/>
  <c r="V26" i="4"/>
  <c r="V28" i="4" s="1"/>
  <c r="N26" i="4"/>
  <c r="M28" i="4"/>
  <c r="S26" i="2"/>
  <c r="N27" i="2"/>
  <c r="N29" i="2" s="1"/>
  <c r="V26" i="3"/>
  <c r="V28" i="3" s="1"/>
  <c r="N26" i="3"/>
  <c r="M28" i="3"/>
  <c r="S27" i="8" l="1"/>
  <c r="N29" i="8"/>
  <c r="N31" i="8" s="1"/>
  <c r="S26" i="3"/>
  <c r="N28" i="3"/>
  <c r="N30" i="3" s="1"/>
  <c r="S27" i="2"/>
  <c r="S30" i="5"/>
  <c r="T8" i="5"/>
  <c r="T8" i="6"/>
  <c r="S30" i="6"/>
  <c r="S26" i="4"/>
  <c r="N28" i="4"/>
  <c r="N30" i="4" s="1"/>
  <c r="T10" i="5" l="1"/>
  <c r="U10" i="5" s="1"/>
  <c r="T11" i="5"/>
  <c r="U11" i="5" s="1"/>
  <c r="T9" i="5"/>
  <c r="T15" i="5"/>
  <c r="U15" i="5" s="1"/>
  <c r="T13" i="5"/>
  <c r="U13" i="5" s="1"/>
  <c r="T12" i="5"/>
  <c r="U12" i="5" s="1"/>
  <c r="T14" i="5"/>
  <c r="U14" i="5" s="1"/>
  <c r="T16" i="5"/>
  <c r="U16" i="5" s="1"/>
  <c r="T17" i="5"/>
  <c r="U17" i="5" s="1"/>
  <c r="T19" i="5"/>
  <c r="U19" i="5" s="1"/>
  <c r="T18" i="5"/>
  <c r="U18" i="5" s="1"/>
  <c r="T22" i="5"/>
  <c r="U22" i="5" s="1"/>
  <c r="T28" i="5"/>
  <c r="U28" i="5" s="1"/>
  <c r="T20" i="5"/>
  <c r="U20" i="5" s="1"/>
  <c r="T21" i="5"/>
  <c r="U21" i="5" s="1"/>
  <c r="T23" i="5"/>
  <c r="U23" i="5" s="1"/>
  <c r="T25" i="5"/>
  <c r="U25" i="5" s="1"/>
  <c r="T24" i="5"/>
  <c r="U24" i="5" s="1"/>
  <c r="T26" i="5"/>
  <c r="U26" i="5" s="1"/>
  <c r="T27" i="5"/>
  <c r="U27" i="5" s="1"/>
  <c r="S28" i="2"/>
  <c r="T8" i="2"/>
  <c r="S28" i="4"/>
  <c r="T12" i="6"/>
  <c r="U12" i="6" s="1"/>
  <c r="T10" i="6"/>
  <c r="U10" i="6" s="1"/>
  <c r="T11" i="6"/>
  <c r="U11" i="6" s="1"/>
  <c r="T9" i="6"/>
  <c r="T15" i="6"/>
  <c r="U15" i="6" s="1"/>
  <c r="T13" i="6"/>
  <c r="U13" i="6" s="1"/>
  <c r="T17" i="6"/>
  <c r="U17" i="6" s="1"/>
  <c r="T14" i="6"/>
  <c r="U14" i="6" s="1"/>
  <c r="T19" i="6"/>
  <c r="U19" i="6" s="1"/>
  <c r="T18" i="6"/>
  <c r="U18" i="6" s="1"/>
  <c r="T16" i="6"/>
  <c r="U16" i="6" s="1"/>
  <c r="T21" i="6"/>
  <c r="U21" i="6" s="1"/>
  <c r="T23" i="6"/>
  <c r="U23" i="6" s="1"/>
  <c r="T28" i="6"/>
  <c r="U28" i="6" s="1"/>
  <c r="T20" i="6"/>
  <c r="U20" i="6" s="1"/>
  <c r="T24" i="6"/>
  <c r="U24" i="6" s="1"/>
  <c r="T22" i="6"/>
  <c r="U22" i="6" s="1"/>
  <c r="T25" i="6"/>
  <c r="U25" i="6" s="1"/>
  <c r="T26" i="6"/>
  <c r="U26" i="6" s="1"/>
  <c r="T27" i="6"/>
  <c r="U27" i="6" s="1"/>
  <c r="S28" i="3"/>
  <c r="S29" i="8"/>
  <c r="S29" i="4" l="1"/>
  <c r="T8" i="4"/>
  <c r="T12" i="2"/>
  <c r="U12" i="2" s="1"/>
  <c r="T9" i="2"/>
  <c r="T10" i="2"/>
  <c r="U10" i="2" s="1"/>
  <c r="T13" i="2"/>
  <c r="U13" i="2" s="1"/>
  <c r="T11" i="2"/>
  <c r="U11" i="2" s="1"/>
  <c r="T15" i="2"/>
  <c r="U15" i="2" s="1"/>
  <c r="T17" i="2"/>
  <c r="U17" i="2" s="1"/>
  <c r="T16" i="2"/>
  <c r="U16" i="2" s="1"/>
  <c r="T14" i="2"/>
  <c r="U14" i="2" s="1"/>
  <c r="T18" i="2"/>
  <c r="U18" i="2" s="1"/>
  <c r="T20" i="2"/>
  <c r="U20" i="2" s="1"/>
  <c r="T21" i="2"/>
  <c r="U21" i="2" s="1"/>
  <c r="T19" i="2"/>
  <c r="U19" i="2" s="1"/>
  <c r="T22" i="2"/>
  <c r="U22" i="2" s="1"/>
  <c r="T23" i="2"/>
  <c r="U23" i="2" s="1"/>
  <c r="T24" i="2"/>
  <c r="U24" i="2" s="1"/>
  <c r="T25" i="2"/>
  <c r="U25" i="2" s="1"/>
  <c r="T26" i="2"/>
  <c r="U26" i="2" s="1"/>
  <c r="S30" i="8"/>
  <c r="T8" i="8"/>
  <c r="T29" i="5"/>
  <c r="U9" i="5"/>
  <c r="U29" i="5" s="1"/>
  <c r="T29" i="6"/>
  <c r="U9" i="6"/>
  <c r="U29" i="6" s="1"/>
  <c r="S29" i="3"/>
  <c r="T8" i="3"/>
  <c r="T9" i="8" l="1"/>
  <c r="T10" i="8"/>
  <c r="U10" i="8" s="1"/>
  <c r="T12" i="8"/>
  <c r="U12" i="8" s="1"/>
  <c r="T11" i="8"/>
  <c r="U11" i="8" s="1"/>
  <c r="T14" i="8"/>
  <c r="U14" i="8" s="1"/>
  <c r="T13" i="8"/>
  <c r="U13" i="8" s="1"/>
  <c r="T15" i="8"/>
  <c r="U15" i="8" s="1"/>
  <c r="T17" i="8"/>
  <c r="U17" i="8" s="1"/>
  <c r="T16" i="8"/>
  <c r="U16" i="8" s="1"/>
  <c r="T19" i="8"/>
  <c r="U19" i="8" s="1"/>
  <c r="T18" i="8"/>
  <c r="U18" i="8" s="1"/>
  <c r="T20" i="8"/>
  <c r="U20" i="8" s="1"/>
  <c r="T22" i="8"/>
  <c r="U22" i="8" s="1"/>
  <c r="T28" i="8"/>
  <c r="U28" i="8" s="1"/>
  <c r="T21" i="8"/>
  <c r="U21" i="8" s="1"/>
  <c r="T26" i="8"/>
  <c r="U26" i="8" s="1"/>
  <c r="T25" i="8"/>
  <c r="U25" i="8" s="1"/>
  <c r="T24" i="8"/>
  <c r="U24" i="8" s="1"/>
  <c r="T23" i="8"/>
  <c r="U23" i="8" s="1"/>
  <c r="T27" i="8"/>
  <c r="U27" i="8" s="1"/>
  <c r="U9" i="2"/>
  <c r="U27" i="2" s="1"/>
  <c r="T27" i="2"/>
  <c r="T12" i="4"/>
  <c r="U12" i="4" s="1"/>
  <c r="T10" i="4"/>
  <c r="U10" i="4" s="1"/>
  <c r="T9" i="4"/>
  <c r="T13" i="4"/>
  <c r="U13" i="4" s="1"/>
  <c r="T15" i="4"/>
  <c r="U15" i="4" s="1"/>
  <c r="T11" i="4"/>
  <c r="U11" i="4" s="1"/>
  <c r="T16" i="4"/>
  <c r="U16" i="4" s="1"/>
  <c r="T14" i="4"/>
  <c r="U14" i="4" s="1"/>
  <c r="T18" i="4"/>
  <c r="U18" i="4" s="1"/>
  <c r="T19" i="4"/>
  <c r="U19" i="4" s="1"/>
  <c r="T27" i="4"/>
  <c r="U27" i="4" s="1"/>
  <c r="T22" i="4"/>
  <c r="U22" i="4" s="1"/>
  <c r="T17" i="4"/>
  <c r="U17" i="4" s="1"/>
  <c r="T21" i="4"/>
  <c r="U21" i="4" s="1"/>
  <c r="T20" i="4"/>
  <c r="U20" i="4" s="1"/>
  <c r="T25" i="4"/>
  <c r="U25" i="4" s="1"/>
  <c r="T23" i="4"/>
  <c r="U23" i="4" s="1"/>
  <c r="T24" i="4"/>
  <c r="U24" i="4" s="1"/>
  <c r="T26" i="4"/>
  <c r="U26" i="4" s="1"/>
  <c r="T11" i="3"/>
  <c r="U11" i="3" s="1"/>
  <c r="T10" i="3"/>
  <c r="U10" i="3" s="1"/>
  <c r="T9" i="3"/>
  <c r="T14" i="3"/>
  <c r="U14" i="3" s="1"/>
  <c r="T13" i="3"/>
  <c r="U13" i="3" s="1"/>
  <c r="T12" i="3"/>
  <c r="U12" i="3" s="1"/>
  <c r="T16" i="3"/>
  <c r="U16" i="3" s="1"/>
  <c r="T17" i="3"/>
  <c r="U17" i="3" s="1"/>
  <c r="T15" i="3"/>
  <c r="U15" i="3" s="1"/>
  <c r="T19" i="3"/>
  <c r="U19" i="3" s="1"/>
  <c r="T18" i="3"/>
  <c r="U18" i="3" s="1"/>
  <c r="T22" i="3"/>
  <c r="U22" i="3" s="1"/>
  <c r="T27" i="3"/>
  <c r="U27" i="3" s="1"/>
  <c r="T20" i="3"/>
  <c r="U20" i="3" s="1"/>
  <c r="T23" i="3"/>
  <c r="U23" i="3" s="1"/>
  <c r="T21" i="3"/>
  <c r="U21" i="3" s="1"/>
  <c r="T25" i="3"/>
  <c r="U25" i="3" s="1"/>
  <c r="T24" i="3"/>
  <c r="U24" i="3" s="1"/>
  <c r="T26" i="3"/>
  <c r="U26" i="3" s="1"/>
  <c r="T28" i="3" l="1"/>
  <c r="U9" i="3"/>
  <c r="U28" i="3" s="1"/>
  <c r="T28" i="4"/>
  <c r="U9" i="4"/>
  <c r="U28" i="4" s="1"/>
  <c r="T29" i="8"/>
  <c r="U9" i="8"/>
  <c r="U29" i="8" s="1"/>
</calcChain>
</file>

<file path=xl/comments1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family val="2"/>
          </rPr>
          <t>======
ID#AAAB9sowaFc
Autor    (2026-06-15 20:54:34)
26000*1,12 suemnte setiembre mas 0,01 de amtiguedad
26000*1,12*1,01=29411</t>
        </r>
      </text>
    </comment>
    <comment ref="H15" authorId="0" shapeId="0">
      <text>
        <r>
          <rPr>
            <sz val="11"/>
            <color rgb="FF000000"/>
            <rFont val="Calibri"/>
            <family val="2"/>
          </rPr>
          <t>======
ID#AAAB9sowaFw
Autor    (2026-06-15 20:54:34)
año 2021 completo volver a poner en 01/2022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" authorId="0" shapeId="0">
      <text>
        <r>
          <rPr>
            <sz val="11"/>
            <color rgb="FF000000"/>
            <rFont val="Calibri"/>
            <family val="2"/>
          </rPr>
          <t>======
ID#AAAB9sowaD0
Autor    (2026-06-15 20:54:34)
La jornada de trabajo no debe superar las 8 horas diarias o las 48 semanales.</t>
        </r>
      </text>
    </comment>
    <comment ref="D4" authorId="0" shapeId="0">
      <text>
        <r>
          <rPr>
            <sz val="11"/>
            <color rgb="FF000000"/>
            <rFont val="Calibri"/>
            <family val="2"/>
          </rPr>
          <t>======
ID#AAAB9sowaFg
Autor    (2026-06-15 20:54:34)
La jornada de trabajo no debe superar las 8 horas diarias o las 48 semanales.</t>
        </r>
      </text>
    </comment>
    <comment ref="L11" authorId="0" shapeId="0">
      <text>
        <r>
          <rPr>
            <sz val="11"/>
            <color rgb="FF000000"/>
            <rFont val="Calibri"/>
            <family val="2"/>
          </rPr>
          <t>======
ID#AAAB_1rU8wI
Autor    (2026-06-16 17:18:06)
en abril 6 hs</t>
        </r>
      </text>
    </comment>
    <comment ref="L17" authorId="0" shapeId="0">
      <text>
        <r>
          <rPr>
            <sz val="11"/>
            <color rgb="FF000000"/>
            <rFont val="Calibri"/>
            <family val="2"/>
          </rPr>
          <t xml:space="preserve">======
ID#AAAB-lVqpsw
Autor    (2026-06-26 13:37:21)
DESDVE MAYO 6 HORAS
DESDE JUNIO 8 HORAS?????
</t>
        </r>
      </text>
    </comment>
    <comment ref="L18" authorId="0" shapeId="0">
      <text>
        <r>
          <rPr>
            <sz val="11"/>
            <color rgb="FF000000"/>
            <rFont val="Calibri"/>
            <family val="2"/>
          </rPr>
          <t xml:space="preserve">======
ID#AAAB_1rU8wE
Autor    (2026-06-16 17:18:06)
DESDE 16/6 TRABAJA 8 HORAS
</t>
        </r>
      </text>
    </comment>
    <comment ref="D38" authorId="0" shapeId="0">
      <text>
        <r>
          <rPr>
            <sz val="11"/>
            <color rgb="FF000000"/>
            <rFont val="Calibri"/>
            <family val="2"/>
          </rPr>
          <t>======
ID#AAAB9sowaFQ
Autor    (2026-06-15 20:54:34)
PAGO ANUAL 2026 PADRONES 197744 Y 197745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3" authorId="0" shapeId="0">
      <text>
        <r>
          <rPr>
            <sz val="11"/>
            <color rgb="FF000000"/>
            <rFont val="Calibri"/>
            <family val="2"/>
          </rPr>
          <t>======
ID#AAAB9sowaD0
Autor    (2026-06-15 20:54:34)
La jornada de trabajo no debe superar las 8 horas diarias o las 48 semanales.</t>
        </r>
      </text>
    </comment>
    <comment ref="D4" authorId="0" shapeId="0">
      <text>
        <r>
          <rPr>
            <sz val="11"/>
            <color rgb="FF000000"/>
            <rFont val="Calibri"/>
            <family val="2"/>
          </rPr>
          <t>======
ID#AAAB9sowaFg
Autor    (2026-06-15 20:54:34)
La jornada de trabajo no debe superar las 8 horas diarias o las 48 semanales.</t>
        </r>
      </text>
    </comment>
    <comment ref="L11" authorId="0" shapeId="0">
      <text>
        <r>
          <rPr>
            <sz val="11"/>
            <color rgb="FF000000"/>
            <rFont val="Calibri"/>
            <family val="2"/>
          </rPr>
          <t>======
ID#AAAB_1rU8wI
Autor    (2026-06-16 17:18:06)
en abril 6 hs</t>
        </r>
      </text>
    </comment>
    <comment ref="L17" authorId="0" shapeId="0">
      <text>
        <r>
          <rPr>
            <sz val="11"/>
            <color rgb="FF000000"/>
            <rFont val="Calibri"/>
            <family val="2"/>
          </rPr>
          <t>======
ID#AAAB-lVqpsw
Autor    (2026-06-26 13:37:21)
DESDVE MAYO 6 HORAS</t>
        </r>
      </text>
    </comment>
    <comment ref="L19" authorId="0" shapeId="0">
      <text>
        <r>
          <rPr>
            <sz val="11"/>
            <color rgb="FF000000"/>
            <rFont val="Calibri"/>
            <family val="2"/>
          </rPr>
          <t>======
ID#AAAB_1rU8wE
Autor    (2026-06-16 17:18:06)
DESDE 16/6 TRABAJA 8 HORAS</t>
        </r>
      </text>
    </comment>
    <comment ref="D39" authorId="0" shapeId="0">
      <text>
        <r>
          <rPr>
            <sz val="11"/>
            <color rgb="FF000000"/>
            <rFont val="Calibri"/>
            <family val="2"/>
          </rPr>
          <t>======
ID#AAAB9sowaFQ
Autor    (2026-06-15 20:54:34)
PAGO ANUAL 2026 PADRONES 197744 Y 197745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3" authorId="0" shapeId="0">
      <text>
        <r>
          <rPr>
            <sz val="11"/>
            <color rgb="FF000000"/>
            <rFont val="Calibri"/>
            <family val="2"/>
          </rPr>
          <t>======
ID#AAAB9sowaF8
Autor    (2026-06-15 20:54:34)
La jornada de trabajo no debe superar las 8 horas diarias o las 48 semanales.</t>
        </r>
      </text>
    </comment>
    <comment ref="D4" authorId="0" shapeId="0">
      <text>
        <r>
          <rPr>
            <sz val="11"/>
            <color rgb="FF000000"/>
            <rFont val="Calibri"/>
            <family val="2"/>
          </rPr>
          <t>======
ID#AAAB9sowaF4
Autor    (2026-06-15 20:54:34)
La jornada de trabajo no debe superar las 8 horas diarias o las 48 semanales.</t>
        </r>
      </text>
    </comment>
    <comment ref="L11" authorId="0" shapeId="0">
      <text>
        <r>
          <rPr>
            <sz val="11"/>
            <color rgb="FF000000"/>
            <rFont val="Calibri"/>
            <family val="2"/>
          </rPr>
          <t>======
ID#AAAB9sowaFs
Autor    (2026-06-15 20:54:34)
en abril 6 hs</t>
        </r>
      </text>
    </comment>
    <comment ref="D39" authorId="0" shapeId="0">
      <text>
        <r>
          <rPr>
            <sz val="11"/>
            <color rgb="FF000000"/>
            <rFont val="Calibri"/>
            <family val="2"/>
          </rPr>
          <t>======
ID#AAAB9sowaFU
Autor    (2026-06-15 20:54:34)
PAGO ANUAL 2026 PADRONES 197744 Y 197745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3" authorId="0" shapeId="0">
      <text>
        <r>
          <rPr>
            <sz val="11"/>
            <color rgb="FF000000"/>
            <rFont val="Calibri"/>
            <family val="2"/>
          </rPr>
          <t>======
ID#AAAB9sowaFY
Autor    (2026-06-15 20:54:34)
La jornada de trabajo no debe superar las 8 horas diarias o las 48 semanales.</t>
        </r>
      </text>
    </comment>
    <comment ref="D4" authorId="0" shapeId="0">
      <text>
        <r>
          <rPr>
            <sz val="11"/>
            <color rgb="FF000000"/>
            <rFont val="Calibri"/>
            <family val="2"/>
          </rPr>
          <t>======
ID#AAAB9sowaFk
Autor    (2026-06-15 20:54:34)
La jornada de trabajo no debe superar las 8 horas diarias o las 48 semanales.</t>
        </r>
      </text>
    </comment>
    <comment ref="D40" authorId="0" shapeId="0">
      <text>
        <r>
          <rPr>
            <sz val="11"/>
            <color rgb="FF000000"/>
            <rFont val="Calibri"/>
            <family val="2"/>
          </rPr>
          <t>======
ID#AAAB9sowaF0
Autor    (2026-06-15 20:54:34)
PAGO ANUAL 2026 PADRONES 197744 Y 197745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3" authorId="0" shapeId="0">
      <text>
        <r>
          <rPr>
            <sz val="11"/>
            <color rgb="FF000000"/>
            <rFont val="Calibri"/>
            <family val="2"/>
          </rPr>
          <t>======
ID#AAAB_1rU8wA
Autor    (2026-06-16 17:18:06)
La jornada de trabajo no debe superar las 8 horas diarias o las 48 semanales.</t>
        </r>
      </text>
    </comment>
    <comment ref="D4" authorId="0" shapeId="0">
      <text>
        <r>
          <rPr>
            <sz val="11"/>
            <color rgb="FF000000"/>
            <rFont val="Calibri"/>
            <family val="2"/>
          </rPr>
          <t>======
ID#AAAB9sowaGA
Autor    (2026-06-15 20:54:34)
La jornada de trabajo no debe superar las 8 horas diarias o las 48 semanales.</t>
        </r>
      </text>
    </comment>
    <comment ref="D40" authorId="0" shapeId="0">
      <text>
        <r>
          <rPr>
            <sz val="11"/>
            <color rgb="FF000000"/>
            <rFont val="Calibri"/>
            <family val="2"/>
          </rPr>
          <t>======
ID#AAAB9sowaFo
Autor    (2026-06-15 20:54:34)
PAGO ANUAL 2026 PADRONES 197744 Y 197745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3" authorId="0" shapeId="0">
      <text>
        <r>
          <rPr>
            <sz val="11"/>
            <color rgb="FF000000"/>
            <rFont val="Calibri"/>
            <family val="2"/>
          </rPr>
          <t>======
ID#AAAB9sowaGE
Autor    (2026-06-15 20:54:34)
La jornada de trabajo no debe superar las 8 horas diarias o las 48 semanales.</t>
        </r>
      </text>
    </comment>
    <comment ref="D4" authorId="0" shapeId="0">
      <text>
        <r>
          <rPr>
            <sz val="11"/>
            <color rgb="FF000000"/>
            <rFont val="Calibri"/>
            <family val="2"/>
          </rPr>
          <t>======
ID#AAAB_1rU8v8
Autor    (2026-06-16 17:18:06)
La jornada de trabajo no debe superar las 8 horas diarias o las 48 semanales.</t>
        </r>
      </text>
    </comment>
    <comment ref="D40" authorId="0" shapeId="0">
      <text>
        <r>
          <rPr>
            <sz val="11"/>
            <color rgb="FF000000"/>
            <rFont val="Calibri"/>
            <family val="2"/>
          </rPr>
          <t>======
ID#AAAB_1rU8v4
Autor    (2026-06-16 17:18:06)
PAGO ANUAL 2026 PADRONES 197744 Y 197745</t>
        </r>
      </text>
    </comment>
  </commentList>
</comments>
</file>

<file path=xl/sharedStrings.xml><?xml version="1.0" encoding="utf-8"?>
<sst xmlns="http://schemas.openxmlformats.org/spreadsheetml/2006/main" count="541" uniqueCount="155">
  <si>
    <t>AGUA</t>
  </si>
  <si>
    <t>ok 11</t>
  </si>
  <si>
    <t>SDO DORA</t>
  </si>
  <si>
    <t>DISPENSER</t>
  </si>
  <si>
    <t>SDO ALBER</t>
  </si>
  <si>
    <t>TELEFONO</t>
  </si>
  <si>
    <t>SDO FINDE</t>
  </si>
  <si>
    <t>ENTREGAR</t>
  </si>
  <si>
    <t>NELY DSCTO</t>
  </si>
  <si>
    <t>50148,96 DESDE FEBRERO</t>
  </si>
  <si>
    <t>AMAZON</t>
  </si>
  <si>
    <t>SAC</t>
  </si>
  <si>
    <t>COMIDA fondo</t>
  </si>
  <si>
    <t>GAS</t>
  </si>
  <si>
    <t>SEMANA</t>
  </si>
  <si>
    <t>LIMPIEZA</t>
  </si>
  <si>
    <t>LUZ-558321</t>
  </si>
  <si>
    <t>OK 10</t>
  </si>
  <si>
    <t>SUELDO DORA</t>
  </si>
  <si>
    <t>COMIDA LORE</t>
  </si>
  <si>
    <t>LUZ CADI 707539</t>
  </si>
  <si>
    <t>SDO FINDE Y MAMA</t>
  </si>
  <si>
    <t>separo</t>
  </si>
  <si>
    <t>maxi</t>
  </si>
  <si>
    <t>NEXFLIX</t>
  </si>
  <si>
    <t>COLECTIVO</t>
  </si>
  <si>
    <t>AHORRO ANUAL</t>
  </si>
  <si>
    <t>dora</t>
  </si>
  <si>
    <t>alejandra</t>
  </si>
  <si>
    <t>CABLE VISION</t>
  </si>
  <si>
    <t>PRODUCTOS</t>
  </si>
  <si>
    <t>sueldo</t>
  </si>
  <si>
    <t>INMOBI +CISI</t>
  </si>
  <si>
    <t>GUARDAR</t>
  </si>
  <si>
    <t>SEPARAR</t>
  </si>
  <si>
    <t>colectivo</t>
  </si>
  <si>
    <t>POR SEMANA</t>
  </si>
  <si>
    <t>separar por sem</t>
  </si>
  <si>
    <t>comida</t>
  </si>
  <si>
    <t>div 2</t>
  </si>
  <si>
    <t>comida semans</t>
  </si>
  <si>
    <t>CELULAR</t>
  </si>
  <si>
    <t>ALEJANDRA</t>
  </si>
  <si>
    <t>total</t>
  </si>
  <si>
    <t>TOTAL GOR</t>
  </si>
  <si>
    <t xml:space="preserve"> </t>
  </si>
  <si>
    <t>SDO 8 HS</t>
  </si>
  <si>
    <t>JUNIO 2026 QUE SE PAGA EN JULIO   2026</t>
  </si>
  <si>
    <t>ADM A---</t>
  </si>
  <si>
    <t>F INGRESO</t>
  </si>
  <si>
    <t>BASICO</t>
  </si>
  <si>
    <t>ANTIGÜEDAD</t>
  </si>
  <si>
    <t>PRESENTISMO</t>
  </si>
  <si>
    <t>INC SAL/DIA GREMIO</t>
  </si>
  <si>
    <t>TOTAL</t>
  </si>
  <si>
    <t>RETENCIONES</t>
  </si>
  <si>
    <t xml:space="preserve">NO REMUN  </t>
  </si>
  <si>
    <t>NETO</t>
  </si>
  <si>
    <t>PROP HORAS</t>
  </si>
  <si>
    <t>NETO REAL</t>
  </si>
  <si>
    <t>NETO MAS SAC</t>
  </si>
  <si>
    <t>FALTAS</t>
  </si>
  <si>
    <t>ANTICIPO</t>
  </si>
  <si>
    <t>SDO A COBRAR</t>
  </si>
  <si>
    <t>EXTRA VACA</t>
  </si>
  <si>
    <t>GOR</t>
  </si>
  <si>
    <t>ERIKA</t>
  </si>
  <si>
    <t>JOSE</t>
  </si>
  <si>
    <t>NELY</t>
  </si>
  <si>
    <t>DARIO</t>
  </si>
  <si>
    <t>AUGUSTO</t>
  </si>
  <si>
    <t>M. ROSA</t>
  </si>
  <si>
    <t>TOMAS</t>
  </si>
  <si>
    <t>DANIELA</t>
  </si>
  <si>
    <t>VALE</t>
  </si>
  <si>
    <t>GONZALO</t>
  </si>
  <si>
    <t>CATY</t>
  </si>
  <si>
    <t>LOURDES</t>
  </si>
  <si>
    <t>ELISA</t>
  </si>
  <si>
    <t>JULIETA</t>
  </si>
  <si>
    <t>ENZO</t>
  </si>
  <si>
    <t>AGUSTINA</t>
  </si>
  <si>
    <t>ANABELLA</t>
  </si>
  <si>
    <t>mes vcto</t>
  </si>
  <si>
    <t>ok</t>
  </si>
  <si>
    <t>DANI</t>
  </si>
  <si>
    <t>OK</t>
  </si>
  <si>
    <t xml:space="preserve">valentina </t>
  </si>
  <si>
    <t>2 cuotas de 80000 desde junio que se paga en julio</t>
  </si>
  <si>
    <t>INMOBI +CISI (agua bidon)</t>
  </si>
  <si>
    <t>MAYO 2026 QUE SE PAGA EN JUNIO   2026</t>
  </si>
  <si>
    <t>PAULA</t>
  </si>
  <si>
    <t>ABRIL 2026 QUE SE PAGA EN MAYO   2026</t>
  </si>
  <si>
    <t>MARZO 2026 QUE SE PAGA EN ABRIL   2026</t>
  </si>
  <si>
    <t>BENJAMIN</t>
  </si>
  <si>
    <t>FEBRERO 2026 QUE SE PAGA EN MARZO   2026</t>
  </si>
  <si>
    <t>BCO /BILL</t>
  </si>
  <si>
    <t>ALIAS</t>
  </si>
  <si>
    <t>PAY</t>
  </si>
  <si>
    <t>ORM2896</t>
  </si>
  <si>
    <t>MP</t>
  </si>
  <si>
    <t>erinoe2016</t>
  </si>
  <si>
    <t>RIO</t>
  </si>
  <si>
    <t>NX</t>
  </si>
  <si>
    <t>beltranaldo</t>
  </si>
  <si>
    <t>cantarutti.dario</t>
  </si>
  <si>
    <t>Nx.rmn.snchz</t>
  </si>
  <si>
    <t>BRUBANK</t>
  </si>
  <si>
    <t>dtorres.bru.1176</t>
  </si>
  <si>
    <t>PJUAREZLUNA.NX.ARS</t>
  </si>
  <si>
    <t>VALE.TORRES03</t>
  </si>
  <si>
    <t>Tobias.709</t>
  </si>
  <si>
    <t>gonalanis</t>
  </si>
  <si>
    <t>Juarezlunarolandonx</t>
  </si>
  <si>
    <t>elisa.torres07</t>
  </si>
  <si>
    <t>Julietacerdan</t>
  </si>
  <si>
    <t>Enzo.04cna</t>
  </si>
  <si>
    <t>Aguus.mp.2024</t>
  </si>
  <si>
    <t>ENERO 2026 QUE SE PAGA EN FEBRERO   2026</t>
  </si>
  <si>
    <t>estimado</t>
  </si>
  <si>
    <t>real</t>
  </si>
  <si>
    <t>INMOB</t>
  </si>
  <si>
    <t>CISI</t>
  </si>
  <si>
    <t>LUZ</t>
  </si>
  <si>
    <t>NETFLIX</t>
  </si>
  <si>
    <t>SPOTIFY</t>
  </si>
  <si>
    <t>BANCO</t>
  </si>
  <si>
    <t>SERV DOM</t>
  </si>
  <si>
    <t>MONOT</t>
  </si>
  <si>
    <t>IB</t>
  </si>
  <si>
    <t>TEM</t>
  </si>
  <si>
    <t>SEGUROS</t>
  </si>
  <si>
    <t>PIAZZA</t>
  </si>
  <si>
    <t xml:space="preserve">COMIDA </t>
  </si>
  <si>
    <t>ART LIM</t>
  </si>
  <si>
    <t>ART LIBRERÍA</t>
  </si>
  <si>
    <t>ART DISTR</t>
  </si>
  <si>
    <t>GYM</t>
  </si>
  <si>
    <t>PELU</t>
  </si>
  <si>
    <t>EVA</t>
  </si>
  <si>
    <t>GEMSA</t>
  </si>
  <si>
    <t>VELA</t>
  </si>
  <si>
    <t>PROFESORA</t>
  </si>
  <si>
    <t>NUTRICIONISTA</t>
  </si>
  <si>
    <t>PSICOLOGA</t>
  </si>
  <si>
    <t>COLEGIO</t>
  </si>
  <si>
    <t>SUELDOS</t>
  </si>
  <si>
    <t>TOTAL GASTOS</t>
  </si>
  <si>
    <t>INGRESOS</t>
  </si>
  <si>
    <t>DIFERENCIA</t>
  </si>
  <si>
    <t>EXTRAS</t>
  </si>
  <si>
    <t>GANANCIAS</t>
  </si>
  <si>
    <t>PAGO FACIL</t>
  </si>
  <si>
    <t>CERTIFICACIONES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</si>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</sst>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_-;\-* #,##0.00_-;_-* \-??_-;_-@"/>
    <numFmt numFmtId="165" formatCode="_-* #,##0.00\ _€_-;\-* #,##0.00\ _€_-;_-* \-??\ _€_-;_-@"/>
    <numFmt numFmtId="166" formatCode="0\ %"/>
    <numFmt numFmtId="167" formatCode="0.0%"/>
    <numFmt numFmtId="168" formatCode="_ * #,##0.00_ ;_ * \-#,##0.00_ ;_ * \-??_ ;_ @_ "/>
    <numFmt numFmtId="169" formatCode="dd/mm/yyyy"/>
    <numFmt numFmtId="170" formatCode="_-* #,##0\ _€_-;\-* #,##0\ _€_-;_-* \-??\ _€_-;_-@"/>
  </numFmts>
  <fonts count="35" x14ac:knownFonts="1">
    <font>
      <sz val="11"/>
      <color rgb="FF000000"/>
      <name val="Calibri"/>
      <charset val="1"/>
    </font>
    <font>
      <b/>
      <sz val="11"/>
      <color rgb="FF00B050"/>
      <name val="Calibri"/>
      <family val="2"/>
    </font>
    <font>
      <sz val="10"/>
      <color rgb="FF0000FF"/>
      <name val="Arial"/>
      <family val="2"/>
    </font>
    <font>
      <sz val="8"/>
      <color rgb="FF000000"/>
      <name val="Arial"/>
      <family val="2"/>
    </font>
    <font>
      <b/>
      <sz val="8"/>
      <color rgb="FF0000FF"/>
      <name val="Calibri"/>
      <family val="2"/>
    </font>
    <font>
      <b/>
      <sz val="8"/>
      <color rgb="FFFF0000"/>
      <name val="Calibri"/>
      <family val="2"/>
    </font>
    <font>
      <sz val="11"/>
      <color rgb="FFFF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8"/>
      <color rgb="FF000000"/>
      <name val="Calibri"/>
      <family val="2"/>
    </font>
    <font>
      <sz val="12"/>
      <color rgb="FF222222"/>
      <name val="Arial"/>
      <family val="2"/>
    </font>
    <font>
      <sz val="8"/>
      <color rgb="FFFF0000"/>
      <name val="Calibri"/>
      <family val="2"/>
    </font>
    <font>
      <sz val="11"/>
      <color rgb="FF0000FF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FF0000"/>
      <name val="Calibri"/>
      <family val="2"/>
    </font>
    <font>
      <b/>
      <sz val="9"/>
      <color rgb="FFFF0000"/>
      <name val="Calibri"/>
      <family val="2"/>
    </font>
    <font>
      <b/>
      <sz val="14"/>
      <color rgb="FF000000"/>
      <name val="Calibri"/>
      <family val="2"/>
    </font>
    <font>
      <b/>
      <sz val="8"/>
      <color rgb="FF000000"/>
      <name val="Calibri"/>
      <family val="2"/>
    </font>
    <font>
      <sz val="11"/>
      <color rgb="FFB2A1C7"/>
      <name val="Calibri"/>
      <family val="2"/>
    </font>
    <font>
      <sz val="10"/>
      <color rgb="FF000000"/>
      <name val="Calibri"/>
      <family val="2"/>
    </font>
    <font>
      <sz val="8"/>
      <color rgb="FF0000FF"/>
      <name val="Calibri"/>
      <family val="2"/>
    </font>
    <font>
      <b/>
      <sz val="6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  <charset val="1"/>
    </font>
    <font>
      <sz val="8"/>
      <color rgb="FFFF0000"/>
      <name val="Arial"/>
      <family val="2"/>
    </font>
    <font>
      <sz val="11"/>
      <color rgb="FF00B050"/>
      <name val="Calibri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8D8D8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FABF8F"/>
      </patternFill>
    </fill>
    <fill>
      <patternFill patternType="solid">
        <fgColor rgb="FFFABF8F"/>
        <bgColor rgb="FFE5B8B7"/>
      </patternFill>
    </fill>
    <fill>
      <patternFill patternType="solid">
        <fgColor rgb="FFB8CCE4"/>
        <bgColor rgb="FFB6DDE8"/>
      </patternFill>
    </fill>
    <fill>
      <patternFill patternType="solid">
        <fgColor rgb="FFC4BD97"/>
        <bgColor rgb="FFE5B8B7"/>
      </patternFill>
    </fill>
    <fill>
      <patternFill patternType="solid">
        <fgColor rgb="FFFFC000"/>
        <bgColor rgb="FFFF9900"/>
      </patternFill>
    </fill>
    <fill>
      <patternFill patternType="solid">
        <fgColor rgb="FF92CDDC"/>
        <bgColor rgb="FFB8CCE4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222222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B6DDE8"/>
        <bgColor rgb="FFB8CCE4"/>
      </patternFill>
    </fill>
    <fill>
      <patternFill patternType="solid">
        <fgColor rgb="FFCCC0D9"/>
        <bgColor rgb="FFB8CCE4"/>
      </patternFill>
    </fill>
    <fill>
      <patternFill patternType="solid">
        <fgColor rgb="FFE36C09"/>
        <bgColor rgb="FFFF9900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17" fontId="2" fillId="0" borderId="3" xfId="0" applyNumberFormat="1" applyFont="1" applyBorder="1"/>
    <xf numFmtId="0" fontId="0" fillId="0" borderId="4" xfId="0" applyBorder="1"/>
    <xf numFmtId="4" fontId="0" fillId="0" borderId="0" xfId="0" applyNumberFormat="1"/>
    <xf numFmtId="164" fontId="0" fillId="0" borderId="0" xfId="0" applyNumberFormat="1"/>
    <xf numFmtId="0" fontId="0" fillId="0" borderId="5" xfId="0" applyBorder="1"/>
    <xf numFmtId="0" fontId="0" fillId="0" borderId="2" xfId="0" applyBorder="1"/>
    <xf numFmtId="0" fontId="3" fillId="0" borderId="2" xfId="0" applyFont="1" applyBorder="1"/>
    <xf numFmtId="165" fontId="3" fillId="3" borderId="4" xfId="0" applyNumberFormat="1" applyFont="1" applyFill="1" applyBorder="1"/>
    <xf numFmtId="0" fontId="4" fillId="0" borderId="2" xfId="0" applyFont="1" applyBorder="1"/>
    <xf numFmtId="165" fontId="5" fillId="0" borderId="3" xfId="0" applyNumberFormat="1" applyFont="1" applyBorder="1" applyAlignment="1">
      <alignment horizontal="left"/>
    </xf>
    <xf numFmtId="165" fontId="6" fillId="0" borderId="6" xfId="0" applyNumberFormat="1" applyFont="1" applyBorder="1"/>
    <xf numFmtId="0" fontId="6" fillId="0" borderId="6" xfId="0" applyFont="1" applyBorder="1"/>
    <xf numFmtId="165" fontId="0" fillId="0" borderId="6" xfId="0" applyNumberFormat="1" applyBorder="1"/>
    <xf numFmtId="0" fontId="0" fillId="0" borderId="6" xfId="0" applyBorder="1"/>
    <xf numFmtId="164" fontId="0" fillId="0" borderId="6" xfId="0" applyNumberFormat="1" applyBorder="1"/>
    <xf numFmtId="164" fontId="0" fillId="0" borderId="3" xfId="0" applyNumberFormat="1" applyBorder="1"/>
    <xf numFmtId="0" fontId="3" fillId="0" borderId="1" xfId="0" applyFont="1" applyBorder="1"/>
    <xf numFmtId="165" fontId="3" fillId="3" borderId="7" xfId="0" applyNumberFormat="1" applyFont="1" applyFill="1" applyBorder="1"/>
    <xf numFmtId="0" fontId="0" fillId="0" borderId="7" xfId="0" applyBorder="1"/>
    <xf numFmtId="165" fontId="6" fillId="0" borderId="0" xfId="0" applyNumberFormat="1" applyFont="1"/>
    <xf numFmtId="0" fontId="6" fillId="0" borderId="0" xfId="0" applyFont="1"/>
    <xf numFmtId="165" fontId="0" fillId="0" borderId="0" xfId="0" applyNumberFormat="1"/>
    <xf numFmtId="164" fontId="0" fillId="0" borderId="5" xfId="0" applyNumberFormat="1" applyBorder="1"/>
    <xf numFmtId="165" fontId="7" fillId="0" borderId="1" xfId="0" applyNumberFormat="1" applyFont="1" applyBorder="1"/>
    <xf numFmtId="0" fontId="7" fillId="3" borderId="8" xfId="0" applyFont="1" applyFill="1" applyBorder="1"/>
    <xf numFmtId="0" fontId="7" fillId="3" borderId="9" xfId="0" applyFont="1" applyFill="1" applyBorder="1"/>
    <xf numFmtId="0" fontId="8" fillId="4" borderId="8" xfId="0" applyFont="1" applyFill="1" applyBorder="1"/>
    <xf numFmtId="165" fontId="8" fillId="4" borderId="9" xfId="0" applyNumberFormat="1" applyFont="1" applyFill="1" applyBorder="1"/>
    <xf numFmtId="165" fontId="4" fillId="0" borderId="3" xfId="0" applyNumberFormat="1" applyFont="1" applyBorder="1" applyAlignment="1">
      <alignment horizontal="left"/>
    </xf>
    <xf numFmtId="0" fontId="7" fillId="0" borderId="2" xfId="0" applyFont="1" applyBorder="1"/>
    <xf numFmtId="165" fontId="7" fillId="0" borderId="3" xfId="0" applyNumberFormat="1" applyFont="1" applyBorder="1"/>
    <xf numFmtId="0" fontId="9" fillId="0" borderId="2" xfId="0" applyFont="1" applyBorder="1"/>
    <xf numFmtId="0" fontId="7" fillId="0" borderId="3" xfId="0" applyFont="1" applyBorder="1"/>
    <xf numFmtId="0" fontId="7" fillId="0" borderId="1" xfId="0" applyFont="1" applyBorder="1"/>
    <xf numFmtId="165" fontId="7" fillId="0" borderId="5" xfId="0" applyNumberFormat="1" applyFont="1" applyBorder="1"/>
    <xf numFmtId="0" fontId="10" fillId="0" borderId="0" xfId="0" applyFont="1" applyAlignment="1">
      <alignment horizontal="left" vertical="center"/>
    </xf>
    <xf numFmtId="0" fontId="7" fillId="0" borderId="10" xfId="0" applyFont="1" applyBorder="1"/>
    <xf numFmtId="165" fontId="7" fillId="0" borderId="11" xfId="0" applyNumberFormat="1" applyFont="1" applyBorder="1"/>
    <xf numFmtId="165" fontId="11" fillId="0" borderId="5" xfId="0" applyNumberFormat="1" applyFont="1" applyBorder="1"/>
    <xf numFmtId="0" fontId="7" fillId="5" borderId="8" xfId="0" applyFont="1" applyFill="1" applyBorder="1"/>
    <xf numFmtId="165" fontId="7" fillId="5" borderId="9" xfId="0" applyNumberFormat="1" applyFont="1" applyFill="1" applyBorder="1"/>
    <xf numFmtId="0" fontId="7" fillId="6" borderId="8" xfId="0" applyFont="1" applyFill="1" applyBorder="1"/>
    <xf numFmtId="165" fontId="7" fillId="6" borderId="9" xfId="0" applyNumberFormat="1" applyFont="1" applyFill="1" applyBorder="1"/>
    <xf numFmtId="164" fontId="8" fillId="0" borderId="8" xfId="0" applyNumberFormat="1" applyFont="1" applyBorder="1"/>
    <xf numFmtId="164" fontId="8" fillId="0" borderId="9" xfId="0" applyNumberFormat="1" applyFont="1" applyBorder="1"/>
    <xf numFmtId="0" fontId="7" fillId="7" borderId="8" xfId="0" applyFont="1" applyFill="1" applyBorder="1"/>
    <xf numFmtId="165" fontId="7" fillId="7" borderId="9" xfId="0" applyNumberFormat="1" applyFont="1" applyFill="1" applyBorder="1"/>
    <xf numFmtId="164" fontId="12" fillId="0" borderId="0" xfId="0" applyNumberFormat="1" applyFont="1"/>
    <xf numFmtId="165" fontId="0" fillId="0" borderId="5" xfId="0" applyNumberFormat="1" applyBorder="1"/>
    <xf numFmtId="165" fontId="7" fillId="3" borderId="12" xfId="0" applyNumberFormat="1" applyFont="1" applyFill="1" applyBorder="1"/>
    <xf numFmtId="0" fontId="3" fillId="0" borderId="10" xfId="0" applyFont="1" applyBorder="1"/>
    <xf numFmtId="165" fontId="3" fillId="8" borderId="12" xfId="0" applyNumberFormat="1" applyFont="1" applyFill="1" applyBorder="1"/>
    <xf numFmtId="0" fontId="7" fillId="8" borderId="8" xfId="0" applyFont="1" applyFill="1" applyBorder="1"/>
    <xf numFmtId="165" fontId="7" fillId="8" borderId="9" xfId="0" applyNumberFormat="1" applyFont="1" applyFill="1" applyBorder="1"/>
    <xf numFmtId="0" fontId="7" fillId="9" borderId="8" xfId="0" applyFont="1" applyFill="1" applyBorder="1"/>
    <xf numFmtId="165" fontId="7" fillId="9" borderId="9" xfId="0" applyNumberFormat="1" applyFont="1" applyFill="1" applyBorder="1"/>
    <xf numFmtId="0" fontId="3" fillId="10" borderId="8" xfId="0" applyFont="1" applyFill="1" applyBorder="1"/>
    <xf numFmtId="165" fontId="13" fillId="10" borderId="12" xfId="0" applyNumberFormat="1" applyFont="1" applyFill="1" applyBorder="1"/>
    <xf numFmtId="165" fontId="14" fillId="10" borderId="9" xfId="0" applyNumberFormat="1" applyFont="1" applyFill="1" applyBorder="1"/>
    <xf numFmtId="164" fontId="0" fillId="0" borderId="8" xfId="0" applyNumberFormat="1" applyBorder="1"/>
    <xf numFmtId="165" fontId="0" fillId="0" borderId="13" xfId="0" applyNumberFormat="1" applyBorder="1"/>
    <xf numFmtId="165" fontId="0" fillId="0" borderId="9" xfId="0" applyNumberFormat="1" applyBorder="1"/>
    <xf numFmtId="0" fontId="0" fillId="0" borderId="10" xfId="0" applyBorder="1"/>
    <xf numFmtId="0" fontId="15" fillId="4" borderId="8" xfId="0" applyFont="1" applyFill="1" applyBorder="1"/>
    <xf numFmtId="165" fontId="0" fillId="4" borderId="9" xfId="0" applyNumberFormat="1" applyFill="1" applyBorder="1"/>
    <xf numFmtId="0" fontId="6" fillId="0" borderId="14" xfId="0" applyFont="1" applyBorder="1"/>
    <xf numFmtId="0" fontId="0" fillId="0" borderId="15" xfId="0" applyBorder="1"/>
    <xf numFmtId="164" fontId="0" fillId="0" borderId="15" xfId="0" applyNumberFormat="1" applyBorder="1"/>
    <xf numFmtId="0" fontId="0" fillId="0" borderId="11" xfId="0" applyBorder="1"/>
    <xf numFmtId="4" fontId="8" fillId="0" borderId="16" xfId="0" applyNumberFormat="1" applyFont="1" applyBorder="1"/>
    <xf numFmtId="4" fontId="8" fillId="0" borderId="17" xfId="0" applyNumberFormat="1" applyFont="1" applyBorder="1" applyAlignment="1">
      <alignment horizontal="center" vertical="center"/>
    </xf>
    <xf numFmtId="165" fontId="16" fillId="0" borderId="16" xfId="0" applyNumberFormat="1" applyFont="1" applyBorder="1"/>
    <xf numFmtId="165" fontId="8" fillId="0" borderId="16" xfId="0" applyNumberFormat="1" applyFont="1" applyBorder="1"/>
    <xf numFmtId="165" fontId="17" fillId="0" borderId="16" xfId="0" applyNumberFormat="1" applyFont="1" applyBorder="1"/>
    <xf numFmtId="164" fontId="1" fillId="0" borderId="17" xfId="0" applyNumberFormat="1" applyFont="1" applyBorder="1"/>
    <xf numFmtId="165" fontId="18" fillId="0" borderId="18" xfId="0" applyNumberFormat="1" applyFont="1" applyBorder="1"/>
    <xf numFmtId="0" fontId="13" fillId="10" borderId="8" xfId="0" applyFont="1" applyFill="1" applyBorder="1"/>
    <xf numFmtId="165" fontId="19" fillId="0" borderId="16" xfId="0" applyNumberFormat="1" applyFont="1" applyBorder="1"/>
    <xf numFmtId="0" fontId="20" fillId="0" borderId="0" xfId="0" applyFont="1" applyAlignment="1">
      <alignment horizontal="center" vertical="center"/>
    </xf>
    <xf numFmtId="17" fontId="18" fillId="0" borderId="19" xfId="0" applyNumberFormat="1" applyFont="1" applyBorder="1"/>
    <xf numFmtId="165" fontId="18" fillId="0" borderId="19" xfId="0" applyNumberFormat="1" applyFont="1" applyBorder="1"/>
    <xf numFmtId="0" fontId="21" fillId="0" borderId="6" xfId="0" applyFont="1" applyBorder="1"/>
    <xf numFmtId="166" fontId="0" fillId="0" borderId="6" xfId="0" applyNumberFormat="1" applyBorder="1"/>
    <xf numFmtId="0" fontId="22" fillId="0" borderId="6" xfId="0" applyFont="1" applyBorder="1"/>
    <xf numFmtId="0" fontId="22" fillId="0" borderId="0" xfId="0" applyFont="1"/>
    <xf numFmtId="0" fontId="0" fillId="0" borderId="3" xfId="0" applyBorder="1"/>
    <xf numFmtId="0" fontId="8" fillId="6" borderId="7" xfId="0" applyFont="1" applyFill="1" applyBorder="1"/>
    <xf numFmtId="4" fontId="8" fillId="6" borderId="5" xfId="0" applyNumberFormat="1" applyFont="1" applyFill="1" applyBorder="1" applyAlignment="1">
      <alignment horizontal="center" vertical="center"/>
    </xf>
    <xf numFmtId="167" fontId="22" fillId="0" borderId="0" xfId="0" applyNumberFormat="1" applyFont="1"/>
    <xf numFmtId="0" fontId="21" fillId="0" borderId="2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1" fillId="0" borderId="19" xfId="0" applyFont="1" applyBorder="1" applyAlignment="1">
      <alignment wrapText="1"/>
    </xf>
    <xf numFmtId="0" fontId="25" fillId="0" borderId="19" xfId="0" applyFont="1" applyBorder="1"/>
    <xf numFmtId="168" fontId="21" fillId="0" borderId="19" xfId="0" applyNumberFormat="1" applyFont="1" applyBorder="1" applyAlignment="1">
      <alignment wrapText="1"/>
    </xf>
    <xf numFmtId="0" fontId="26" fillId="11" borderId="19" xfId="0" applyFont="1" applyFill="1" applyBorder="1" applyAlignment="1">
      <alignment wrapText="1"/>
    </xf>
    <xf numFmtId="0" fontId="27" fillId="12" borderId="19" xfId="0" applyFont="1" applyFill="1" applyBorder="1" applyAlignment="1">
      <alignment wrapText="1"/>
    </xf>
    <xf numFmtId="0" fontId="28" fillId="13" borderId="20" xfId="0" applyFont="1" applyFill="1" applyBorder="1" applyAlignment="1">
      <alignment wrapText="1"/>
    </xf>
    <xf numFmtId="164" fontId="8" fillId="4" borderId="0" xfId="0" applyNumberFormat="1" applyFont="1" applyFill="1"/>
    <xf numFmtId="165" fontId="18" fillId="4" borderId="0" xfId="0" applyNumberFormat="1" applyFont="1" applyFill="1"/>
    <xf numFmtId="0" fontId="0" fillId="0" borderId="21" xfId="0" applyBorder="1"/>
    <xf numFmtId="0" fontId="8" fillId="0" borderId="1" xfId="0" applyFont="1" applyBorder="1"/>
    <xf numFmtId="0" fontId="12" fillId="0" borderId="22" xfId="0" applyFont="1" applyBorder="1"/>
    <xf numFmtId="169" fontId="0" fillId="0" borderId="22" xfId="0" applyNumberFormat="1" applyBorder="1"/>
    <xf numFmtId="4" fontId="0" fillId="0" borderId="22" xfId="0" applyNumberFormat="1" applyBorder="1"/>
    <xf numFmtId="4" fontId="0" fillId="0" borderId="18" xfId="0" applyNumberFormat="1" applyBorder="1" applyAlignment="1">
      <alignment horizontal="center" vertical="center"/>
    </xf>
    <xf numFmtId="165" fontId="29" fillId="0" borderId="22" xfId="0" applyNumberFormat="1" applyFont="1" applyBorder="1"/>
    <xf numFmtId="4" fontId="8" fillId="0" borderId="22" xfId="0" applyNumberFormat="1" applyFont="1" applyBorder="1"/>
    <xf numFmtId="165" fontId="0" fillId="0" borderId="22" xfId="0" applyNumberFormat="1" applyBorder="1"/>
    <xf numFmtId="165" fontId="23" fillId="0" borderId="22" xfId="0" applyNumberFormat="1" applyFont="1" applyBorder="1"/>
    <xf numFmtId="164" fontId="1" fillId="0" borderId="22" xfId="0" applyNumberFormat="1" applyFont="1" applyBorder="1"/>
    <xf numFmtId="0" fontId="8" fillId="0" borderId="22" xfId="0" applyFont="1" applyBorder="1" applyAlignment="1">
      <alignment horizontal="center"/>
    </xf>
    <xf numFmtId="165" fontId="30" fillId="0" borderId="22" xfId="0" applyNumberFormat="1" applyFont="1" applyBorder="1"/>
    <xf numFmtId="170" fontId="30" fillId="0" borderId="22" xfId="0" applyNumberFormat="1" applyFont="1" applyBorder="1"/>
    <xf numFmtId="165" fontId="0" fillId="0" borderId="23" xfId="0" applyNumberFormat="1" applyBorder="1"/>
    <xf numFmtId="0" fontId="0" fillId="4" borderId="0" xfId="0" applyFill="1"/>
    <xf numFmtId="4" fontId="0" fillId="4" borderId="22" xfId="0" applyNumberFormat="1" applyFill="1" applyBorder="1"/>
    <xf numFmtId="165" fontId="31" fillId="0" borderId="22" xfId="0" applyNumberFormat="1" applyFont="1" applyBorder="1"/>
    <xf numFmtId="0" fontId="0" fillId="14" borderId="0" xfId="0" applyFill="1"/>
    <xf numFmtId="0" fontId="18" fillId="0" borderId="12" xfId="0" applyFont="1" applyBorder="1"/>
    <xf numFmtId="164" fontId="1" fillId="6" borderId="12" xfId="0" applyNumberFormat="1" applyFont="1" applyFill="1" applyBorder="1"/>
    <xf numFmtId="165" fontId="21" fillId="0" borderId="0" xfId="0" applyNumberFormat="1" applyFont="1" applyAlignment="1">
      <alignment horizontal="center"/>
    </xf>
    <xf numFmtId="165" fontId="27" fillId="11" borderId="24" xfId="0" applyNumberFormat="1" applyFont="1" applyFill="1" applyBorder="1" applyAlignment="1">
      <alignment wrapText="1"/>
    </xf>
    <xf numFmtId="165" fontId="27" fillId="11" borderId="25" xfId="0" applyNumberFormat="1" applyFont="1" applyFill="1" applyBorder="1" applyAlignment="1">
      <alignment wrapText="1"/>
    </xf>
    <xf numFmtId="165" fontId="27" fillId="12" borderId="16" xfId="0" applyNumberFormat="1" applyFont="1" applyFill="1" applyBorder="1" applyAlignment="1">
      <alignment wrapText="1"/>
    </xf>
    <xf numFmtId="165" fontId="27" fillId="13" borderId="17" xfId="0" applyNumberFormat="1" applyFont="1" applyFill="1" applyBorder="1" applyAlignment="1">
      <alignment wrapText="1"/>
    </xf>
    <xf numFmtId="164" fontId="18" fillId="4" borderId="0" xfId="0" applyNumberFormat="1" applyFont="1" applyFill="1"/>
    <xf numFmtId="165" fontId="0" fillId="0" borderId="26" xfId="0" applyNumberFormat="1" applyBorder="1"/>
    <xf numFmtId="165" fontId="32" fillId="3" borderId="4" xfId="0" applyNumberFormat="1" applyFont="1" applyFill="1" applyBorder="1"/>
    <xf numFmtId="164" fontId="0" fillId="15" borderId="6" xfId="0" applyNumberFormat="1" applyFill="1" applyBorder="1"/>
    <xf numFmtId="165" fontId="32" fillId="3" borderId="7" xfId="0" applyNumberFormat="1" applyFont="1" applyFill="1" applyBorder="1"/>
    <xf numFmtId="165" fontId="7" fillId="0" borderId="0" xfId="0" applyNumberFormat="1" applyFont="1"/>
    <xf numFmtId="165" fontId="8" fillId="4" borderId="0" xfId="0" applyNumberFormat="1" applyFont="1" applyFill="1"/>
    <xf numFmtId="0" fontId="8" fillId="16" borderId="1" xfId="0" applyFont="1" applyFill="1" applyBorder="1"/>
    <xf numFmtId="0" fontId="12" fillId="16" borderId="22" xfId="0" applyFont="1" applyFill="1" applyBorder="1"/>
    <xf numFmtId="169" fontId="0" fillId="16" borderId="22" xfId="0" applyNumberFormat="1" applyFill="1" applyBorder="1"/>
    <xf numFmtId="4" fontId="0" fillId="16" borderId="22" xfId="0" applyNumberFormat="1" applyFill="1" applyBorder="1"/>
    <xf numFmtId="4" fontId="0" fillId="16" borderId="18" xfId="0" applyNumberFormat="1" applyFill="1" applyBorder="1" applyAlignment="1">
      <alignment horizontal="center" vertical="center"/>
    </xf>
    <xf numFmtId="165" fontId="29" fillId="16" borderId="22" xfId="0" applyNumberFormat="1" applyFont="1" applyFill="1" applyBorder="1"/>
    <xf numFmtId="4" fontId="8" fillId="16" borderId="22" xfId="0" applyNumberFormat="1" applyFont="1" applyFill="1" applyBorder="1"/>
    <xf numFmtId="165" fontId="0" fillId="16" borderId="22" xfId="0" applyNumberFormat="1" applyFill="1" applyBorder="1"/>
    <xf numFmtId="165" fontId="23" fillId="16" borderId="22" xfId="0" applyNumberFormat="1" applyFont="1" applyFill="1" applyBorder="1"/>
    <xf numFmtId="164" fontId="1" fillId="16" borderId="22" xfId="0" applyNumberFormat="1" applyFont="1" applyFill="1" applyBorder="1"/>
    <xf numFmtId="0" fontId="8" fillId="16" borderId="22" xfId="0" applyFont="1" applyFill="1" applyBorder="1" applyAlignment="1">
      <alignment horizontal="center"/>
    </xf>
    <xf numFmtId="165" fontId="30" fillId="16" borderId="22" xfId="0" applyNumberFormat="1" applyFont="1" applyFill="1" applyBorder="1"/>
    <xf numFmtId="170" fontId="30" fillId="16" borderId="22" xfId="0" applyNumberFormat="1" applyFont="1" applyFill="1" applyBorder="1"/>
    <xf numFmtId="165" fontId="18" fillId="16" borderId="18" xfId="0" applyNumberFormat="1" applyFont="1" applyFill="1" applyBorder="1"/>
    <xf numFmtId="164" fontId="0" fillId="16" borderId="0" xfId="0" applyNumberFormat="1" applyFill="1"/>
    <xf numFmtId="165" fontId="0" fillId="16" borderId="0" xfId="0" applyNumberFormat="1" applyFill="1"/>
    <xf numFmtId="165" fontId="0" fillId="16" borderId="23" xfId="0" applyNumberFormat="1" applyFill="1" applyBorder="1"/>
    <xf numFmtId="0" fontId="0" fillId="16" borderId="0" xfId="0" applyFill="1"/>
    <xf numFmtId="165" fontId="0" fillId="16" borderId="27" xfId="0" applyNumberFormat="1" applyFill="1" applyBorder="1"/>
    <xf numFmtId="165" fontId="0" fillId="4" borderId="23" xfId="0" applyNumberFormat="1" applyFill="1" applyBorder="1"/>
    <xf numFmtId="0" fontId="18" fillId="0" borderId="22" xfId="0" applyFont="1" applyBorder="1" applyAlignment="1">
      <alignment horizontal="center"/>
    </xf>
    <xf numFmtId="164" fontId="1" fillId="0" borderId="28" xfId="0" applyNumberFormat="1" applyFont="1" applyBorder="1"/>
    <xf numFmtId="164" fontId="1" fillId="16" borderId="28" xfId="0" applyNumberFormat="1" applyFont="1" applyFill="1" applyBorder="1"/>
    <xf numFmtId="2" fontId="18" fillId="0" borderId="19" xfId="0" applyNumberFormat="1" applyFont="1" applyBorder="1"/>
    <xf numFmtId="170" fontId="30" fillId="17" borderId="22" xfId="0" applyNumberFormat="1" applyFont="1" applyFill="1" applyBorder="1"/>
    <xf numFmtId="170" fontId="30" fillId="4" borderId="22" xfId="0" applyNumberFormat="1" applyFont="1" applyFill="1" applyBorder="1"/>
    <xf numFmtId="165" fontId="0" fillId="0" borderId="27" xfId="0" applyNumberFormat="1" applyBorder="1"/>
    <xf numFmtId="170" fontId="30" fillId="18" borderId="22" xfId="0" applyNumberFormat="1" applyFont="1" applyFill="1" applyBorder="1"/>
    <xf numFmtId="165" fontId="6" fillId="0" borderId="22" xfId="0" applyNumberFormat="1" applyFont="1" applyBorder="1"/>
    <xf numFmtId="165" fontId="33" fillId="0" borderId="22" xfId="0" applyNumberFormat="1" applyFont="1" applyBorder="1"/>
    <xf numFmtId="0" fontId="8" fillId="0" borderId="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14" borderId="0" xfId="0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30" fillId="4" borderId="22" xfId="0" applyNumberFormat="1" applyFont="1" applyFill="1" applyBorder="1"/>
    <xf numFmtId="165" fontId="18" fillId="14" borderId="18" xfId="0" applyNumberFormat="1" applyFont="1" applyFill="1" applyBorder="1"/>
    <xf numFmtId="165" fontId="0" fillId="4" borderId="0" xfId="0" applyNumberFormat="1" applyFill="1"/>
    <xf numFmtId="165" fontId="18" fillId="0" borderId="0" xfId="0" applyNumberFormat="1" applyFont="1"/>
    <xf numFmtId="165" fontId="8" fillId="0" borderId="12" xfId="0" applyNumberFormat="1" applyFont="1" applyBorder="1"/>
    <xf numFmtId="165" fontId="8" fillId="0" borderId="4" xfId="0" applyNumberFormat="1" applyFont="1" applyBorder="1"/>
    <xf numFmtId="0" fontId="6" fillId="0" borderId="8" xfId="0" applyFont="1" applyBorder="1"/>
    <xf numFmtId="0" fontId="6" fillId="0" borderId="13" xfId="0" applyFont="1" applyBorder="1"/>
    <xf numFmtId="164" fontId="6" fillId="0" borderId="9" xfId="0" applyNumberFormat="1" applyFont="1" applyBorder="1"/>
    <xf numFmtId="167" fontId="0" fillId="0" borderId="0" xfId="0" applyNumberFormat="1"/>
    <xf numFmtId="164" fontId="8" fillId="0" borderId="12" xfId="0" applyNumberFormat="1" applyFont="1" applyBorder="1" applyAlignment="1">
      <alignment horizontal="center"/>
    </xf>
    <xf numFmtId="0" fontId="20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D9"/>
      <rgbColor rgb="FF808080"/>
      <rgbColor rgb="FFB2A1C7"/>
      <rgbColor rgb="FF993366"/>
      <rgbColor rgb="FFFFFFCC"/>
      <rgbColor rgb="FFB6DDE8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8D8D8"/>
      <rgbColor rgb="FFFFFF99"/>
      <rgbColor rgb="FF92CDDC"/>
      <rgbColor rgb="FFE5B8B7"/>
      <rgbColor rgb="FFCC99FF"/>
      <rgbColor rgb="FFFABF8F"/>
      <rgbColor rgb="FF3366FF"/>
      <rgbColor rgb="FF33CCCC"/>
      <rgbColor rgb="FF99CC00"/>
      <rgbColor rgb="FFFFC000"/>
      <rgbColor rgb="FFFF9900"/>
      <rgbColor rgb="FFE36C09"/>
      <rgbColor rgb="FF666699"/>
      <rgbColor rgb="FFC4BD97"/>
      <rgbColor rgb="FF003366"/>
      <rgbColor rgb="FF00B050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6:R1000"/>
  <sheetViews>
    <sheetView zoomScaleNormal="100"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x14ac:dyDescent="0.25"/>
  <cols>
    <col min="1" max="1" width="3.140625" customWidth="1"/>
    <col min="2" max="2" width="9.5703125" customWidth="1"/>
    <col min="3" max="3" width="12.28515625" customWidth="1"/>
    <col min="5" max="5" width="14.7109375" customWidth="1"/>
    <col min="6" max="6" width="12.85546875" customWidth="1"/>
    <col min="7" max="7" width="13.140625" customWidth="1"/>
    <col min="8" max="8" width="11" customWidth="1"/>
    <col min="9" max="9" width="14" customWidth="1"/>
    <col min="10" max="10" width="14.140625" customWidth="1"/>
    <col min="11" max="11" width="15.7109375" customWidth="1"/>
    <col min="12" max="12" width="14.28515625" customWidth="1"/>
    <col min="13" max="13" width="13.7109375" customWidth="1"/>
    <col min="14" max="14" width="16.85546875" customWidth="1"/>
    <col min="15" max="15" width="16.140625" customWidth="1"/>
    <col min="16" max="16" width="15.28515625" customWidth="1"/>
    <col min="17" max="18" width="18" customWidth="1"/>
    <col min="19" max="26" width="11.7109375" customWidth="1"/>
  </cols>
  <sheetData>
    <row r="6" spans="1:18" x14ac:dyDescent="0.25">
      <c r="A6" s="1"/>
      <c r="C6" s="2"/>
      <c r="D6" s="3" t="e">
        <f>+#REF!</f>
        <v>#REF!</v>
      </c>
      <c r="E6" s="4"/>
      <c r="F6" s="5"/>
      <c r="M6" s="6"/>
      <c r="N6" s="6" t="e">
        <f>+#REF!-#REF!-#REF!-#REF!</f>
        <v>#REF!</v>
      </c>
      <c r="O6" s="6"/>
    </row>
    <row r="7" spans="1:18" x14ac:dyDescent="0.25">
      <c r="A7" s="1"/>
      <c r="B7" s="8"/>
      <c r="C7" s="9" t="s">
        <v>0</v>
      </c>
      <c r="D7" s="10">
        <v>91686</v>
      </c>
      <c r="E7" s="4" t="s">
        <v>1</v>
      </c>
      <c r="F7" s="8"/>
      <c r="G7" s="11" t="s">
        <v>2</v>
      </c>
      <c r="H7" s="12">
        <v>350000</v>
      </c>
      <c r="I7" s="13"/>
      <c r="J7" s="14"/>
      <c r="K7" s="15"/>
      <c r="L7" s="16" t="e">
        <f>+#REF!/8</f>
        <v>#REF!</v>
      </c>
      <c r="M7" s="16"/>
      <c r="N7" s="17"/>
      <c r="O7" s="15"/>
      <c r="P7" s="17"/>
      <c r="Q7" s="16"/>
      <c r="R7" s="18"/>
    </row>
    <row r="8" spans="1:18" x14ac:dyDescent="0.25">
      <c r="A8" s="1"/>
      <c r="B8" s="1"/>
      <c r="C8" s="19" t="s">
        <v>3</v>
      </c>
      <c r="D8" s="20">
        <v>10000</v>
      </c>
      <c r="E8" s="21" t="s">
        <v>1</v>
      </c>
      <c r="F8" s="1"/>
      <c r="G8" s="11" t="s">
        <v>4</v>
      </c>
      <c r="H8" s="12">
        <v>350000</v>
      </c>
      <c r="I8" s="22"/>
      <c r="J8" s="23"/>
      <c r="K8" s="24"/>
      <c r="N8" s="6"/>
      <c r="O8" s="24"/>
    </row>
    <row r="9" spans="1:18" x14ac:dyDescent="0.25">
      <c r="A9" s="1"/>
      <c r="B9" s="1"/>
      <c r="C9" s="19" t="s">
        <v>5</v>
      </c>
      <c r="D9" s="20">
        <v>50828</v>
      </c>
      <c r="E9" s="21" t="s">
        <v>1</v>
      </c>
      <c r="F9" s="26"/>
      <c r="G9" s="11" t="s">
        <v>6</v>
      </c>
      <c r="H9" s="12">
        <v>52000</v>
      </c>
      <c r="I9" s="27" t="s">
        <v>7</v>
      </c>
      <c r="J9" s="28"/>
      <c r="M9" s="29" t="s">
        <v>8</v>
      </c>
      <c r="N9" s="30">
        <f>13800*2</f>
        <v>27600</v>
      </c>
      <c r="O9" s="6" t="s">
        <v>9</v>
      </c>
      <c r="P9" s="6"/>
      <c r="Q9" s="24"/>
      <c r="R9" s="25"/>
    </row>
    <row r="10" spans="1:18" x14ac:dyDescent="0.25">
      <c r="A10" s="1"/>
      <c r="B10" s="1"/>
      <c r="C10" s="19" t="s">
        <v>10</v>
      </c>
      <c r="D10" s="20">
        <v>4918</v>
      </c>
      <c r="E10" s="21" t="s">
        <v>1</v>
      </c>
      <c r="F10" s="1"/>
      <c r="G10" s="11" t="s">
        <v>11</v>
      </c>
      <c r="H10" s="31">
        <f>+H9/2</f>
        <v>26000</v>
      </c>
      <c r="I10" s="32" t="s">
        <v>12</v>
      </c>
      <c r="J10" s="33">
        <f>60000+24000</f>
        <v>84000</v>
      </c>
      <c r="M10" s="6"/>
    </row>
    <row r="11" spans="1:18" x14ac:dyDescent="0.25">
      <c r="A11" s="1"/>
      <c r="B11" s="1"/>
      <c r="C11" s="19" t="s">
        <v>13</v>
      </c>
      <c r="D11" s="20">
        <v>15300</v>
      </c>
      <c r="E11" s="21" t="s">
        <v>1</v>
      </c>
      <c r="F11" s="1"/>
      <c r="G11" s="34" t="s">
        <v>14</v>
      </c>
      <c r="H11" s="35"/>
      <c r="I11" s="36" t="s">
        <v>15</v>
      </c>
      <c r="J11" s="37">
        <f>26700*4</f>
        <v>106800</v>
      </c>
      <c r="M11" s="38"/>
      <c r="N11" s="24"/>
    </row>
    <row r="12" spans="1:18" x14ac:dyDescent="0.25">
      <c r="A12" s="1"/>
      <c r="B12" s="1"/>
      <c r="C12" s="19" t="s">
        <v>16</v>
      </c>
      <c r="D12" s="20">
        <v>0</v>
      </c>
      <c r="E12" s="21" t="s">
        <v>17</v>
      </c>
      <c r="F12" s="1"/>
      <c r="G12" s="36" t="s">
        <v>18</v>
      </c>
      <c r="H12" s="37">
        <f>+H7/4</f>
        <v>87500</v>
      </c>
      <c r="I12" s="39" t="s">
        <v>19</v>
      </c>
      <c r="J12" s="40">
        <f>85400/4*3</f>
        <v>64050</v>
      </c>
      <c r="M12" s="6"/>
    </row>
    <row r="13" spans="1:18" x14ac:dyDescent="0.25">
      <c r="A13" s="1"/>
      <c r="B13" s="1"/>
      <c r="C13" s="19" t="s">
        <v>20</v>
      </c>
      <c r="D13" s="20">
        <v>0</v>
      </c>
      <c r="E13" s="7" t="s">
        <v>17</v>
      </c>
      <c r="F13" s="1"/>
      <c r="G13" s="36" t="s">
        <v>21</v>
      </c>
      <c r="H13" s="41">
        <f>+H9</f>
        <v>52000</v>
      </c>
      <c r="I13" s="42"/>
      <c r="J13" s="43">
        <f>SUM(J10:J12)</f>
        <v>254850</v>
      </c>
      <c r="M13" s="181" t="s">
        <v>22</v>
      </c>
      <c r="N13" s="181"/>
      <c r="O13" s="181"/>
      <c r="P13" s="181" t="s">
        <v>23</v>
      </c>
      <c r="Q13" s="181"/>
      <c r="R13" s="181"/>
    </row>
    <row r="14" spans="1:18" x14ac:dyDescent="0.25">
      <c r="A14" s="1"/>
      <c r="B14" s="1"/>
      <c r="C14" s="19" t="s">
        <v>24</v>
      </c>
      <c r="D14" s="20">
        <v>11500</v>
      </c>
      <c r="E14" s="21" t="s">
        <v>1</v>
      </c>
      <c r="F14" s="1"/>
      <c r="G14" s="36" t="s">
        <v>25</v>
      </c>
      <c r="H14" s="37">
        <f>18000*4+2000*4*0+18000</f>
        <v>90000</v>
      </c>
      <c r="I14" s="44" t="s">
        <v>26</v>
      </c>
      <c r="J14" s="45">
        <v>0</v>
      </c>
      <c r="N14" s="46" t="s">
        <v>27</v>
      </c>
      <c r="O14" s="47" t="s">
        <v>28</v>
      </c>
      <c r="Q14" s="46" t="s">
        <v>27</v>
      </c>
      <c r="R14" s="47" t="s">
        <v>28</v>
      </c>
    </row>
    <row r="15" spans="1:18" x14ac:dyDescent="0.25">
      <c r="A15" s="1"/>
      <c r="B15" s="1"/>
      <c r="C15" s="19" t="s">
        <v>29</v>
      </c>
      <c r="D15" s="20">
        <v>26000</v>
      </c>
      <c r="E15" s="21" t="s">
        <v>1</v>
      </c>
      <c r="F15" s="1"/>
      <c r="G15" s="39" t="s">
        <v>11</v>
      </c>
      <c r="H15" s="40">
        <f>+H10*2/12*1</f>
        <v>4333.333333333333</v>
      </c>
      <c r="I15" s="48" t="s">
        <v>30</v>
      </c>
      <c r="J15" s="49">
        <v>50000</v>
      </c>
      <c r="M15" s="50" t="s">
        <v>31</v>
      </c>
      <c r="N15" s="24">
        <f>350000/4</f>
        <v>87500</v>
      </c>
      <c r="O15" s="24">
        <v>26000</v>
      </c>
      <c r="P15" s="50" t="s">
        <v>31</v>
      </c>
      <c r="Q15" s="24"/>
      <c r="R15" s="51"/>
    </row>
    <row r="16" spans="1:18" x14ac:dyDescent="0.25">
      <c r="A16" s="1"/>
      <c r="B16" s="1"/>
      <c r="C16" s="19" t="s">
        <v>32</v>
      </c>
      <c r="D16" s="20">
        <v>1269</v>
      </c>
      <c r="E16" s="21" t="s">
        <v>1</v>
      </c>
      <c r="F16" s="1"/>
      <c r="G16" s="27" t="s">
        <v>33</v>
      </c>
      <c r="H16" s="52">
        <f>SUM(H12:H15)</f>
        <v>233833.33333333334</v>
      </c>
      <c r="I16" s="27" t="s">
        <v>34</v>
      </c>
      <c r="J16" s="52">
        <f>+J13+J15+J14</f>
        <v>304850</v>
      </c>
      <c r="M16" s="50" t="s">
        <v>35</v>
      </c>
      <c r="N16" s="24">
        <v>18000</v>
      </c>
      <c r="O16" s="24">
        <v>26700</v>
      </c>
      <c r="P16" s="50" t="s">
        <v>35</v>
      </c>
      <c r="Q16" s="24"/>
      <c r="R16" s="51"/>
    </row>
    <row r="17" spans="1:18" x14ac:dyDescent="0.25">
      <c r="A17" s="1"/>
      <c r="B17" s="1"/>
      <c r="C17" s="53"/>
      <c r="D17" s="54">
        <f>SUM(D7:D16)</f>
        <v>211501</v>
      </c>
      <c r="E17" s="21"/>
      <c r="F17" s="1"/>
      <c r="G17" s="55" t="s">
        <v>36</v>
      </c>
      <c r="H17" s="56">
        <f>+H16/4</f>
        <v>58458.333333333336</v>
      </c>
      <c r="I17" s="57" t="s">
        <v>37</v>
      </c>
      <c r="J17" s="58">
        <f>+H17+J16</f>
        <v>363308.33333333331</v>
      </c>
      <c r="M17" s="50" t="s">
        <v>38</v>
      </c>
      <c r="N17" s="24">
        <v>0</v>
      </c>
      <c r="O17" s="24">
        <v>12000</v>
      </c>
      <c r="P17" s="50" t="s">
        <v>38</v>
      </c>
      <c r="Q17" s="24"/>
      <c r="R17" s="51"/>
    </row>
    <row r="18" spans="1:18" x14ac:dyDescent="0.25">
      <c r="A18" s="1"/>
      <c r="B18" s="1"/>
      <c r="C18" s="59" t="s">
        <v>39</v>
      </c>
      <c r="D18" s="60">
        <f>+D17/2</f>
        <v>105750.5</v>
      </c>
      <c r="E18" s="21"/>
      <c r="F18" s="1"/>
      <c r="M18" s="50" t="s">
        <v>40</v>
      </c>
      <c r="N18" s="24"/>
      <c r="O18" s="24">
        <v>30000</v>
      </c>
      <c r="P18" s="50" t="s">
        <v>40</v>
      </c>
      <c r="Q18" s="24"/>
      <c r="R18" s="51"/>
    </row>
    <row r="19" spans="1:18" x14ac:dyDescent="0.25">
      <c r="A19" s="1"/>
      <c r="B19" s="36"/>
      <c r="C19" s="59" t="s">
        <v>41</v>
      </c>
      <c r="D19" s="61">
        <f>111435/5</f>
        <v>22287</v>
      </c>
      <c r="E19" s="21" t="s">
        <v>1</v>
      </c>
      <c r="F19" s="1"/>
      <c r="N19" s="24">
        <v>30000</v>
      </c>
      <c r="O19" s="24">
        <v>12000</v>
      </c>
      <c r="Q19" s="24"/>
    </row>
    <row r="20" spans="1:18" x14ac:dyDescent="0.25">
      <c r="A20" s="1"/>
      <c r="B20" s="1"/>
      <c r="C20" s="59" t="s">
        <v>42</v>
      </c>
      <c r="D20" s="61">
        <f>2780*3*2*4/2</f>
        <v>33360</v>
      </c>
      <c r="E20" s="21" t="s">
        <v>1</v>
      </c>
      <c r="F20" s="1"/>
      <c r="M20" s="62" t="s">
        <v>43</v>
      </c>
      <c r="N20" s="63">
        <f>SUM(N15:N17)</f>
        <v>105500</v>
      </c>
      <c r="O20" s="64">
        <f>SUM(O15:O19)</f>
        <v>106700</v>
      </c>
      <c r="P20" s="62" t="s">
        <v>43</v>
      </c>
      <c r="Q20" s="63">
        <f>SUM(Q15:Q17)</f>
        <v>0</v>
      </c>
      <c r="R20" s="64">
        <f>SUM(R15:R19)</f>
        <v>0</v>
      </c>
    </row>
    <row r="21" spans="1:18" ht="15.75" customHeight="1" x14ac:dyDescent="0.25">
      <c r="A21" s="65"/>
      <c r="B21" s="65"/>
      <c r="C21" s="66" t="s">
        <v>44</v>
      </c>
      <c r="D21" s="67">
        <f>+D18+D20+D19</f>
        <v>161397.5</v>
      </c>
      <c r="E21" s="68"/>
      <c r="F21" s="65"/>
      <c r="G21" s="69"/>
      <c r="H21" s="69"/>
      <c r="I21" s="69"/>
      <c r="J21" s="69"/>
      <c r="K21" s="69"/>
      <c r="L21" s="69"/>
      <c r="M21" s="70"/>
      <c r="N21" s="69"/>
      <c r="O21" s="70"/>
      <c r="P21" s="69"/>
      <c r="Q21" s="69"/>
      <c r="R21" s="71"/>
    </row>
    <row r="22" spans="1:18" ht="15.75" customHeight="1" x14ac:dyDescent="0.25"/>
    <row r="23" spans="1:18" ht="15.75" customHeight="1" x14ac:dyDescent="0.25"/>
    <row r="24" spans="1:18" ht="15.75" customHeight="1" x14ac:dyDescent="0.25"/>
    <row r="25" spans="1:18" ht="15.75" customHeight="1" x14ac:dyDescent="0.25"/>
    <row r="26" spans="1:18" ht="15.75" customHeight="1" x14ac:dyDescent="0.25"/>
    <row r="27" spans="1:18" ht="15.75" customHeight="1" x14ac:dyDescent="0.25"/>
    <row r="28" spans="1:18" ht="15.75" customHeight="1" x14ac:dyDescent="0.25"/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M13:O13"/>
    <mergeCell ref="P13:R13"/>
  </mergeCells>
  <pageMargins left="0.15763888888888899" right="0.15763888888888899" top="7.8472222222222193E-2" bottom="0" header="0.511811023622047" footer="0.511811023622047"/>
  <pageSetup paperSize="9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W999"/>
  <sheetViews>
    <sheetView tabSelected="1" topLeftCell="A3" zoomScale="110" zoomScaleNormal="110" workbookViewId="0">
      <pane xSplit="2" topLeftCell="M1" activePane="topRight" state="frozen"/>
      <selection activeCell="A5" sqref="A5"/>
      <selection pane="topRight" activeCell="R24" sqref="R24"/>
    </sheetView>
  </sheetViews>
  <sheetFormatPr baseColWidth="10" defaultColWidth="14.42578125" defaultRowHeight="15" x14ac:dyDescent="0.25"/>
  <cols>
    <col min="1" max="1" width="3.140625" customWidth="1"/>
    <col min="2" max="2" width="10.140625" bestFit="1" customWidth="1"/>
    <col min="3" max="3" width="17.42578125" customWidth="1"/>
    <col min="5" max="5" width="14.7109375" customWidth="1"/>
    <col min="6" max="6" width="12.85546875" customWidth="1"/>
    <col min="7" max="7" width="11.140625" customWidth="1"/>
    <col min="8" max="8" width="13.42578125" customWidth="1"/>
    <col min="9" max="9" width="14" customWidth="1"/>
    <col min="10" max="10" width="14.140625" customWidth="1"/>
    <col min="11" max="11" width="15.7109375" customWidth="1"/>
    <col min="12" max="12" width="14.28515625" customWidth="1"/>
    <col min="13" max="13" width="13.7109375" customWidth="1"/>
    <col min="14" max="14" width="18.28515625" customWidth="1"/>
    <col min="15" max="15" width="7.42578125" customWidth="1"/>
    <col min="16" max="16" width="20.5703125" customWidth="1"/>
    <col min="17" max="17" width="17" customWidth="1"/>
    <col min="18" max="18" width="15.5703125" customWidth="1"/>
    <col min="19" max="19" width="16.7109375" customWidth="1"/>
    <col min="20" max="20" width="17.85546875" customWidth="1"/>
    <col min="21" max="21" width="20.5703125" customWidth="1"/>
    <col min="22" max="22" width="16" customWidth="1"/>
    <col min="23" max="26" width="11.7109375" customWidth="1"/>
  </cols>
  <sheetData>
    <row r="2" spans="1:23" ht="15" customHeight="1" x14ac:dyDescent="0.25">
      <c r="D2" t="s">
        <v>45</v>
      </c>
    </row>
    <row r="3" spans="1:23" ht="15" customHeight="1" x14ac:dyDescent="0.25">
      <c r="D3" s="72">
        <f>+D4/48*40</f>
        <v>938025.83333333326</v>
      </c>
      <c r="E3" s="73">
        <f>+D3*A8*0.01*0</f>
        <v>0</v>
      </c>
      <c r="F3" s="72">
        <f>+(D3+E3)*8.33/100</f>
        <v>78137.551916666664</v>
      </c>
      <c r="G3" s="74"/>
      <c r="H3" s="72">
        <f>+D3+E3+F3+G3</f>
        <v>1016163.3852499999</v>
      </c>
      <c r="I3" s="75">
        <f>+H3*0.195+J3*0.055</f>
        <v>204606.52063769998</v>
      </c>
      <c r="J3" s="76">
        <f>J4*1.0833/48*40</f>
        <v>117357.46389</v>
      </c>
      <c r="K3" s="77">
        <f>+H3-I3+J3</f>
        <v>928914.32850229996</v>
      </c>
      <c r="M3" s="24"/>
    </row>
    <row r="4" spans="1:23" ht="15" customHeight="1" x14ac:dyDescent="0.25">
      <c r="C4" s="79" t="s">
        <v>46</v>
      </c>
      <c r="D4" s="72">
        <f>+C7</f>
        <v>1125631</v>
      </c>
      <c r="E4" s="73">
        <v>0</v>
      </c>
      <c r="F4" s="72">
        <f>+(D4+E4)*8.33/100</f>
        <v>93765.062300000005</v>
      </c>
      <c r="G4" s="80">
        <v>0</v>
      </c>
      <c r="H4" s="72">
        <f>+D4+E4+F4+G4</f>
        <v>1219396.0623000001</v>
      </c>
      <c r="I4" s="75">
        <f>+H4*0.195+J4*0.055</f>
        <v>244932.22994850005</v>
      </c>
      <c r="J4" s="76">
        <f>(100000+20000)*1.083333</f>
        <v>129999.96</v>
      </c>
      <c r="K4" s="77">
        <f>+H4-I4+J4</f>
        <v>1104463.7923515001</v>
      </c>
    </row>
    <row r="5" spans="1:23" ht="15" customHeight="1" x14ac:dyDescent="0.25">
      <c r="B5" s="182" t="s">
        <v>47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81"/>
    </row>
    <row r="6" spans="1:23" ht="15" customHeight="1" x14ac:dyDescent="0.25">
      <c r="A6" s="8"/>
      <c r="B6" s="82">
        <v>46174</v>
      </c>
      <c r="C6" s="83">
        <f>+C7</f>
        <v>1125631</v>
      </c>
      <c r="D6" s="84"/>
      <c r="E6" s="15"/>
      <c r="F6" s="85"/>
      <c r="G6" s="15"/>
      <c r="H6" s="16"/>
      <c r="I6" s="86"/>
      <c r="J6" s="86"/>
      <c r="K6" s="87"/>
      <c r="L6" s="16"/>
      <c r="M6" s="16"/>
      <c r="N6" s="16"/>
      <c r="O6" s="16"/>
      <c r="P6" s="16"/>
      <c r="Q6" s="88"/>
      <c r="R6" s="4"/>
      <c r="S6" s="4"/>
    </row>
    <row r="7" spans="1:23" ht="15" customHeight="1" x14ac:dyDescent="0.25">
      <c r="A7" s="1"/>
      <c r="B7" s="89" t="s">
        <v>48</v>
      </c>
      <c r="C7" s="90">
        <v>1125631</v>
      </c>
      <c r="I7" s="180"/>
      <c r="J7" s="91"/>
      <c r="K7" s="24"/>
    </row>
    <row r="8" spans="1:23" ht="15" customHeight="1" x14ac:dyDescent="0.25">
      <c r="A8" s="92"/>
      <c r="B8" s="93"/>
      <c r="C8" s="94" t="s">
        <v>49</v>
      </c>
      <c r="D8" s="94" t="s">
        <v>50</v>
      </c>
      <c r="E8" s="94" t="s">
        <v>51</v>
      </c>
      <c r="F8" s="94" t="s">
        <v>52</v>
      </c>
      <c r="G8" s="95" t="s">
        <v>53</v>
      </c>
      <c r="H8" s="96" t="s">
        <v>54</v>
      </c>
      <c r="I8" s="94" t="s">
        <v>55</v>
      </c>
      <c r="J8" s="94" t="s">
        <v>56</v>
      </c>
      <c r="K8" s="94" t="s">
        <v>57</v>
      </c>
      <c r="L8" s="94" t="s">
        <v>58</v>
      </c>
      <c r="M8" s="94" t="s">
        <v>59</v>
      </c>
      <c r="N8" s="97" t="s">
        <v>60</v>
      </c>
      <c r="O8" s="97" t="s">
        <v>61</v>
      </c>
      <c r="P8" s="98" t="s">
        <v>62</v>
      </c>
      <c r="Q8" s="98" t="s">
        <v>62</v>
      </c>
      <c r="R8" s="98" t="s">
        <v>62</v>
      </c>
      <c r="S8" s="99" t="s">
        <v>63</v>
      </c>
      <c r="T8" s="100">
        <f>+S27</f>
        <v>2276890.0741503313</v>
      </c>
      <c r="U8" s="101">
        <v>0</v>
      </c>
      <c r="V8" s="102" t="s">
        <v>64</v>
      </c>
    </row>
    <row r="9" spans="1:23" ht="15" customHeight="1" x14ac:dyDescent="0.25">
      <c r="A9" s="103">
        <v>15</v>
      </c>
      <c r="B9" s="104" t="s">
        <v>65</v>
      </c>
      <c r="C9" s="105">
        <v>40664</v>
      </c>
      <c r="D9" s="106">
        <f>+C7/48*40</f>
        <v>938025.83333333326</v>
      </c>
      <c r="E9" s="107">
        <f t="shared" ref="E9:E26" si="0">+D9*A9*0.01</f>
        <v>140703.87499999997</v>
      </c>
      <c r="F9" s="106">
        <f>+(D9+E9)*8.33/100</f>
        <v>89858.184704166662</v>
      </c>
      <c r="G9" s="108">
        <f>+G4</f>
        <v>0</v>
      </c>
      <c r="H9" s="109">
        <f t="shared" ref="H9:H26" si="1">+D9+E9+F9+G9</f>
        <v>1168587.8930374999</v>
      </c>
      <c r="I9" s="110">
        <f t="shared" ref="I9:I26" si="2">+H9*0.195+J9*0.055</f>
        <v>234329.29965626248</v>
      </c>
      <c r="J9" s="111">
        <f>+J4/48*40*1.0833</f>
        <v>117357.46389</v>
      </c>
      <c r="K9" s="112">
        <f t="shared" ref="K9:K26" si="3">+H9-I9+J9</f>
        <v>1051616.0572712373</v>
      </c>
      <c r="L9" s="113">
        <v>8</v>
      </c>
      <c r="M9" s="111">
        <f t="shared" ref="M9:M26" si="4">+K9/8*L9</f>
        <v>1051616.0572712373</v>
      </c>
      <c r="N9" s="114">
        <f>+M9*1.0833</f>
        <v>1139215.6748419313</v>
      </c>
      <c r="O9" s="115"/>
      <c r="P9" s="110">
        <f>+D43+320000</f>
        <v>750933.5</v>
      </c>
      <c r="Q9" s="110">
        <f>240000+10000</f>
        <v>250000</v>
      </c>
      <c r="R9" s="110"/>
      <c r="S9" s="78">
        <f>+N9-P9-Q9-R9</f>
        <v>138282.17484193132</v>
      </c>
      <c r="T9" s="6">
        <f>+S9/T8</f>
        <v>6.0732916539035897E-2</v>
      </c>
      <c r="U9" s="24">
        <f>+T9*U8</f>
        <v>0</v>
      </c>
      <c r="V9" s="116">
        <f>+M9/2</f>
        <v>525808.02863561863</v>
      </c>
      <c r="W9" s="117">
        <f>560000-320000</f>
        <v>240000</v>
      </c>
    </row>
    <row r="10" spans="1:23" ht="15" customHeight="1" x14ac:dyDescent="0.25">
      <c r="A10" s="103">
        <v>12</v>
      </c>
      <c r="B10" s="104" t="s">
        <v>66</v>
      </c>
      <c r="C10" s="105">
        <v>41529</v>
      </c>
      <c r="D10" s="106">
        <f t="shared" ref="D10:D26" si="5">+D9</f>
        <v>938025.83333333326</v>
      </c>
      <c r="E10" s="107">
        <f t="shared" si="0"/>
        <v>112563.1</v>
      </c>
      <c r="F10" s="118">
        <f>+(D10+E10)*8.33/100*1*0</f>
        <v>0</v>
      </c>
      <c r="G10" s="108">
        <f>+G9</f>
        <v>0</v>
      </c>
      <c r="H10" s="109">
        <f t="shared" si="1"/>
        <v>1050588.9333333333</v>
      </c>
      <c r="I10" s="110">
        <f t="shared" si="2"/>
        <v>211319.50251394999</v>
      </c>
      <c r="J10" s="111">
        <f t="shared" ref="J10:J26" si="6">+J9</f>
        <v>117357.46389</v>
      </c>
      <c r="K10" s="112">
        <f t="shared" si="3"/>
        <v>956626.89470938337</v>
      </c>
      <c r="L10" s="113">
        <v>8</v>
      </c>
      <c r="M10" s="111">
        <f t="shared" si="4"/>
        <v>956626.89470938337</v>
      </c>
      <c r="N10" s="114">
        <f>+M10*1.0833/30*26</f>
        <v>898138.7263668516</v>
      </c>
      <c r="O10" s="115">
        <v>4</v>
      </c>
      <c r="P10" s="110">
        <v>330000</v>
      </c>
      <c r="Q10" s="110">
        <f>120000+100000+10000</f>
        <v>230000</v>
      </c>
      <c r="R10" s="110">
        <v>240000</v>
      </c>
      <c r="S10" s="78">
        <f>+N10-P10-Q10-R10</f>
        <v>98138.726366851595</v>
      </c>
      <c r="T10" s="6">
        <f>+S10/T8</f>
        <v>4.3102092402714738E-2</v>
      </c>
      <c r="U10" s="24">
        <f>+T10*U8</f>
        <v>0</v>
      </c>
      <c r="V10" s="116">
        <f>+M10/2*0</f>
        <v>0</v>
      </c>
      <c r="W10" s="117">
        <f>450000-330000</f>
        <v>120000</v>
      </c>
    </row>
    <row r="11" spans="1:23" ht="15" customHeight="1" x14ac:dyDescent="0.25">
      <c r="A11" s="103">
        <v>3</v>
      </c>
      <c r="B11" s="104" t="s">
        <v>67</v>
      </c>
      <c r="C11" s="105">
        <v>45017</v>
      </c>
      <c r="D11" s="106">
        <f t="shared" si="5"/>
        <v>938025.83333333326</v>
      </c>
      <c r="E11" s="107">
        <f t="shared" si="0"/>
        <v>28140.775000000001</v>
      </c>
      <c r="F11" s="106">
        <f>+(D11+E11)*8.33/100</f>
        <v>80481.678474166663</v>
      </c>
      <c r="G11" s="108">
        <f>+G10</f>
        <v>0</v>
      </c>
      <c r="H11" s="109">
        <f t="shared" si="1"/>
        <v>1046648.2868074999</v>
      </c>
      <c r="I11" s="110">
        <f t="shared" si="2"/>
        <v>210551.07644141247</v>
      </c>
      <c r="J11" s="111">
        <f t="shared" si="6"/>
        <v>117357.46389</v>
      </c>
      <c r="K11" s="112">
        <f t="shared" si="3"/>
        <v>953454.67425608751</v>
      </c>
      <c r="L11" s="113">
        <v>6</v>
      </c>
      <c r="M11" s="111">
        <f t="shared" si="4"/>
        <v>715091.00569206569</v>
      </c>
      <c r="N11" s="114">
        <f>+M11*1.0833</f>
        <v>774658.08646621474</v>
      </c>
      <c r="O11" s="115"/>
      <c r="P11" s="110">
        <v>300000</v>
      </c>
      <c r="Q11" s="110">
        <f>90000+10000</f>
        <v>100000</v>
      </c>
      <c r="R11" s="110">
        <v>260000</v>
      </c>
      <c r="S11" s="78">
        <f>+N11-P11-Q11-R11</f>
        <v>114658.08646621474</v>
      </c>
      <c r="T11" s="6">
        <f>+S11/T8</f>
        <v>5.0357321931319754E-2</v>
      </c>
      <c r="U11" s="24">
        <f>+T11*U8</f>
        <v>0</v>
      </c>
      <c r="V11" s="116"/>
      <c r="W11">
        <f>390000-300000</f>
        <v>90000</v>
      </c>
    </row>
    <row r="12" spans="1:23" ht="15" customHeight="1" x14ac:dyDescent="0.25">
      <c r="A12" s="103">
        <v>10</v>
      </c>
      <c r="B12" s="104" t="s">
        <v>68</v>
      </c>
      <c r="C12" s="105">
        <v>42269</v>
      </c>
      <c r="D12" s="106">
        <f t="shared" si="5"/>
        <v>938025.83333333326</v>
      </c>
      <c r="E12" s="107">
        <f t="shared" si="0"/>
        <v>93802.583333333328</v>
      </c>
      <c r="F12" s="106">
        <f>+(D12+E12)*8.33/100</f>
        <v>85951.307108333334</v>
      </c>
      <c r="G12" s="108">
        <f>+G11</f>
        <v>0</v>
      </c>
      <c r="H12" s="109">
        <f t="shared" si="1"/>
        <v>1117779.7237749998</v>
      </c>
      <c r="I12" s="110">
        <f t="shared" si="2"/>
        <v>224421.70665007498</v>
      </c>
      <c r="J12" s="111">
        <f t="shared" si="6"/>
        <v>117357.46389</v>
      </c>
      <c r="K12" s="112">
        <f t="shared" si="3"/>
        <v>1010715.4810149248</v>
      </c>
      <c r="L12" s="113">
        <v>4</v>
      </c>
      <c r="M12" s="111">
        <f t="shared" si="4"/>
        <v>505357.74050746241</v>
      </c>
      <c r="N12" s="114">
        <f>+M12*1.0833</f>
        <v>547454.04029173404</v>
      </c>
      <c r="O12" s="115">
        <v>0</v>
      </c>
      <c r="P12" s="110">
        <f>+N31+180000+100000</f>
        <v>345970.33</v>
      </c>
      <c r="Q12" s="110">
        <v>10000</v>
      </c>
      <c r="R12" s="110">
        <v>140000</v>
      </c>
      <c r="S12" s="78">
        <f>+(N12-P12-Q12-R12)*1</f>
        <v>51483.710291734023</v>
      </c>
      <c r="T12" s="6">
        <f>+S12/T8</f>
        <v>2.2611416719775651E-2</v>
      </c>
      <c r="U12" s="24">
        <f>+T12*U8*1</f>
        <v>0</v>
      </c>
      <c r="V12" s="116"/>
    </row>
    <row r="13" spans="1:23" ht="15" customHeight="1" x14ac:dyDescent="0.25">
      <c r="A13" s="103">
        <v>1</v>
      </c>
      <c r="B13" s="104" t="s">
        <v>69</v>
      </c>
      <c r="C13" s="105">
        <v>45532</v>
      </c>
      <c r="D13" s="106">
        <f t="shared" si="5"/>
        <v>938025.83333333326</v>
      </c>
      <c r="E13" s="107">
        <f t="shared" si="0"/>
        <v>9380.2583333333332</v>
      </c>
      <c r="F13" s="106">
        <f>+(D13+E13)*8.33/100</f>
        <v>78918.92743583332</v>
      </c>
      <c r="G13" s="108">
        <f>5000*1.25*1.25*1.28*1.4*1.72*1.65*1.1806*1.1645*1.2*1.2*1.1*1.12</f>
        <v>96907.167214083092</v>
      </c>
      <c r="H13" s="109">
        <f t="shared" si="1"/>
        <v>1123232.1863165828</v>
      </c>
      <c r="I13" s="110">
        <f t="shared" si="2"/>
        <v>225484.93684568364</v>
      </c>
      <c r="J13" s="111">
        <f t="shared" si="6"/>
        <v>117357.46389</v>
      </c>
      <c r="K13" s="112">
        <f t="shared" si="3"/>
        <v>1015104.7133608992</v>
      </c>
      <c r="L13" s="113">
        <v>4</v>
      </c>
      <c r="M13" s="111">
        <f t="shared" si="4"/>
        <v>507552.35668044962</v>
      </c>
      <c r="N13" s="114">
        <f>+M13*1.0833/30*30</f>
        <v>549831.46799193101</v>
      </c>
      <c r="O13" s="115"/>
      <c r="P13" s="110">
        <v>210000</v>
      </c>
      <c r="Q13" s="110">
        <f>70000+10000</f>
        <v>80000</v>
      </c>
      <c r="R13" s="110">
        <v>180000</v>
      </c>
      <c r="S13" s="78">
        <f>+N13-P13-Q13-R13</f>
        <v>79831.467991931015</v>
      </c>
      <c r="T13" s="6">
        <f>+S13/T8</f>
        <v>3.5061625898528181E-2</v>
      </c>
      <c r="U13" s="24">
        <f>+T13*U8</f>
        <v>0</v>
      </c>
      <c r="V13" s="116"/>
      <c r="W13">
        <f>280000-210000</f>
        <v>70000</v>
      </c>
    </row>
    <row r="14" spans="1:23" ht="15" customHeight="1" x14ac:dyDescent="0.25">
      <c r="A14" s="103">
        <v>6</v>
      </c>
      <c r="B14" s="104" t="s">
        <v>70</v>
      </c>
      <c r="C14" s="105">
        <v>43973</v>
      </c>
      <c r="D14" s="106">
        <f t="shared" si="5"/>
        <v>938025.83333333326</v>
      </c>
      <c r="E14" s="107">
        <f t="shared" si="0"/>
        <v>56281.55</v>
      </c>
      <c r="F14" s="106">
        <f>+(D14+E14)*8.33/100*1</f>
        <v>82825.805031666663</v>
      </c>
      <c r="G14" s="108">
        <f>+G12</f>
        <v>0</v>
      </c>
      <c r="H14" s="109">
        <f t="shared" si="1"/>
        <v>1077133.1883650001</v>
      </c>
      <c r="I14" s="110">
        <f t="shared" si="2"/>
        <v>216495.63224512502</v>
      </c>
      <c r="J14" s="111">
        <f t="shared" si="6"/>
        <v>117357.46389</v>
      </c>
      <c r="K14" s="112">
        <f t="shared" si="3"/>
        <v>977995.02000987506</v>
      </c>
      <c r="L14" s="113">
        <v>8</v>
      </c>
      <c r="M14" s="111">
        <f t="shared" si="4"/>
        <v>977995.02000987506</v>
      </c>
      <c r="N14" s="114">
        <f>+M14*1.0833/30*29</f>
        <v>1024146.6050041411</v>
      </c>
      <c r="O14" s="115">
        <v>1</v>
      </c>
      <c r="P14" s="110">
        <v>350000</v>
      </c>
      <c r="Q14" s="110">
        <f>165000</f>
        <v>165000</v>
      </c>
      <c r="R14" s="110">
        <v>280000</v>
      </c>
      <c r="S14" s="78">
        <f>+N14-P14-Q14-R14</f>
        <v>229146.60500414111</v>
      </c>
      <c r="T14" s="6">
        <f>+S14/T8</f>
        <v>0.10064017038224909</v>
      </c>
      <c r="U14" s="24">
        <f>+T14*U8</f>
        <v>0</v>
      </c>
      <c r="V14" s="116"/>
      <c r="W14" s="117">
        <f>515000-350000</f>
        <v>165000</v>
      </c>
    </row>
    <row r="15" spans="1:23" ht="15" customHeight="1" x14ac:dyDescent="0.25">
      <c r="A15" s="103">
        <v>6</v>
      </c>
      <c r="B15" s="104" t="s">
        <v>71</v>
      </c>
      <c r="C15" s="105">
        <v>43846</v>
      </c>
      <c r="D15" s="106">
        <f t="shared" si="5"/>
        <v>938025.83333333326</v>
      </c>
      <c r="E15" s="107">
        <f t="shared" si="0"/>
        <v>56281.55</v>
      </c>
      <c r="F15" s="106">
        <f t="shared" ref="F15:F20" si="7">+(D15+E15)*8.33/100</f>
        <v>82825.805031666663</v>
      </c>
      <c r="G15" s="108">
        <f>+G14</f>
        <v>0</v>
      </c>
      <c r="H15" s="109">
        <f t="shared" si="1"/>
        <v>1077133.1883650001</v>
      </c>
      <c r="I15" s="110">
        <f t="shared" si="2"/>
        <v>216495.63224512502</v>
      </c>
      <c r="J15" s="111">
        <f t="shared" si="6"/>
        <v>117357.46389</v>
      </c>
      <c r="K15" s="112">
        <f t="shared" si="3"/>
        <v>977995.02000987506</v>
      </c>
      <c r="L15" s="113">
        <v>8</v>
      </c>
      <c r="M15" s="111">
        <f t="shared" si="4"/>
        <v>977995.02000987506</v>
      </c>
      <c r="N15" s="114">
        <f>+M15*1.0833/30*29</f>
        <v>1024146.6050041411</v>
      </c>
      <c r="O15" s="115">
        <v>0</v>
      </c>
      <c r="P15" s="110">
        <v>410000</v>
      </c>
      <c r="Q15" s="110">
        <f>160000+10000</f>
        <v>170000</v>
      </c>
      <c r="R15" s="110">
        <v>320000</v>
      </c>
      <c r="S15" s="78">
        <f>+N15-P15-Q15-R15</f>
        <v>124146.60500414111</v>
      </c>
      <c r="T15" s="6">
        <f>+S15/T8</f>
        <v>5.4524637097585392E-2</v>
      </c>
      <c r="U15" s="24">
        <f>+T15*U8</f>
        <v>0</v>
      </c>
      <c r="V15" s="116"/>
      <c r="W15" s="117">
        <f>570000-410000</f>
        <v>160000</v>
      </c>
    </row>
    <row r="16" spans="1:23" ht="15" customHeight="1" x14ac:dyDescent="0.25">
      <c r="A16" s="103">
        <v>6</v>
      </c>
      <c r="B16" s="104" t="s">
        <v>72</v>
      </c>
      <c r="C16" s="105">
        <v>43922</v>
      </c>
      <c r="D16" s="106">
        <f t="shared" si="5"/>
        <v>938025.83333333326</v>
      </c>
      <c r="E16" s="107">
        <f t="shared" si="0"/>
        <v>56281.55</v>
      </c>
      <c r="F16" s="106">
        <f t="shared" si="7"/>
        <v>82825.805031666663</v>
      </c>
      <c r="G16" s="108">
        <f>+G15</f>
        <v>0</v>
      </c>
      <c r="H16" s="109">
        <f t="shared" si="1"/>
        <v>1077133.1883650001</v>
      </c>
      <c r="I16" s="110">
        <f t="shared" si="2"/>
        <v>216495.63224512502</v>
      </c>
      <c r="J16" s="111">
        <f t="shared" si="6"/>
        <v>117357.46389</v>
      </c>
      <c r="K16" s="112">
        <f t="shared" si="3"/>
        <v>977995.02000987506</v>
      </c>
      <c r="L16" s="113">
        <v>8</v>
      </c>
      <c r="M16" s="111">
        <f t="shared" si="4"/>
        <v>977995.02000987506</v>
      </c>
      <c r="N16" s="114">
        <f>+M16*1.0833</f>
        <v>1059462.0051766976</v>
      </c>
      <c r="O16" s="115"/>
      <c r="P16" s="110">
        <f>89000+370000</f>
        <v>459000</v>
      </c>
      <c r="Q16" s="110">
        <f>160000+10000</f>
        <v>170000</v>
      </c>
      <c r="R16" s="110"/>
      <c r="S16" s="78">
        <f>+(N16-P16-Q16-R16)*1</f>
        <v>430462.00517669762</v>
      </c>
      <c r="T16" s="6">
        <f>+S16/T8</f>
        <v>0.18905699930961026</v>
      </c>
      <c r="U16" s="24">
        <f>+T16*U8*1</f>
        <v>0</v>
      </c>
      <c r="V16" s="116">
        <f>+M16/2*0</f>
        <v>0</v>
      </c>
      <c r="W16" s="117">
        <f>530000-370000</f>
        <v>160000</v>
      </c>
    </row>
    <row r="17" spans="1:23" ht="15" customHeight="1" x14ac:dyDescent="0.25">
      <c r="A17" s="103">
        <v>4</v>
      </c>
      <c r="B17" s="104" t="s">
        <v>73</v>
      </c>
      <c r="C17" s="105">
        <v>44567</v>
      </c>
      <c r="D17" s="106">
        <f t="shared" si="5"/>
        <v>938025.83333333326</v>
      </c>
      <c r="E17" s="107">
        <f t="shared" si="0"/>
        <v>37521.033333333333</v>
      </c>
      <c r="F17" s="106">
        <f t="shared" si="7"/>
        <v>81263.05399333332</v>
      </c>
      <c r="G17" s="108">
        <f>+G16</f>
        <v>0</v>
      </c>
      <c r="H17" s="109">
        <f t="shared" si="1"/>
        <v>1056809.9206599998</v>
      </c>
      <c r="I17" s="110">
        <f t="shared" si="2"/>
        <v>212532.59504264995</v>
      </c>
      <c r="J17" s="111">
        <f t="shared" si="6"/>
        <v>117357.46389</v>
      </c>
      <c r="K17" s="112">
        <f t="shared" si="3"/>
        <v>961634.78950734995</v>
      </c>
      <c r="L17" s="113">
        <v>6</v>
      </c>
      <c r="M17" s="111">
        <f t="shared" si="4"/>
        <v>721226.09213051246</v>
      </c>
      <c r="N17" s="114">
        <f>+M17*1.0833/30*30</f>
        <v>781304.22560498409</v>
      </c>
      <c r="O17" s="115"/>
      <c r="P17" s="110">
        <f>70000+50000+50000+240000</f>
        <v>410000</v>
      </c>
      <c r="Q17" s="110">
        <f>80000+10000</f>
        <v>90000</v>
      </c>
      <c r="R17" s="110">
        <v>200000</v>
      </c>
      <c r="S17" s="78">
        <f>+N17-P17-Q17-R17</f>
        <v>81304.225604984094</v>
      </c>
      <c r="T17" s="6">
        <f>+S17/T8</f>
        <v>3.5708454495909051E-2</v>
      </c>
      <c r="U17" s="24">
        <f>+T17*U8</f>
        <v>0</v>
      </c>
      <c r="V17" s="116"/>
      <c r="W17" s="117">
        <f>390000-70000-240000</f>
        <v>80000</v>
      </c>
    </row>
    <row r="18" spans="1:23" ht="15" customHeight="1" x14ac:dyDescent="0.25">
      <c r="A18" s="103">
        <v>2</v>
      </c>
      <c r="B18" s="104" t="s">
        <v>74</v>
      </c>
      <c r="C18" s="105">
        <v>45194</v>
      </c>
      <c r="D18" s="106">
        <f t="shared" si="5"/>
        <v>938025.83333333326</v>
      </c>
      <c r="E18" s="107">
        <f t="shared" si="0"/>
        <v>18760.516666666666</v>
      </c>
      <c r="F18" s="106">
        <f t="shared" si="7"/>
        <v>79700.302955000006</v>
      </c>
      <c r="G18" s="108">
        <v>0</v>
      </c>
      <c r="H18" s="109">
        <f t="shared" si="1"/>
        <v>1036486.6529549999</v>
      </c>
      <c r="I18" s="110">
        <f t="shared" si="2"/>
        <v>208569.557840175</v>
      </c>
      <c r="J18" s="111">
        <f t="shared" si="6"/>
        <v>117357.46389</v>
      </c>
      <c r="K18" s="112">
        <f t="shared" si="3"/>
        <v>945274.55900482496</v>
      </c>
      <c r="L18" s="113">
        <v>8</v>
      </c>
      <c r="M18" s="111">
        <f t="shared" si="4"/>
        <v>945274.55900482496</v>
      </c>
      <c r="N18" s="119">
        <f>+M18*1.0833/30*30*0+768012/30*15*1+1024016/30*15</f>
        <v>896014</v>
      </c>
      <c r="O18" s="115"/>
      <c r="P18" s="110">
        <f>80000+69000+13.99*1500+280000</f>
        <v>449985</v>
      </c>
      <c r="Q18" s="110">
        <f>168000</f>
        <v>168000</v>
      </c>
      <c r="R18" s="110"/>
      <c r="S18" s="78">
        <f>+(N18-P18-Q18-R18)*1</f>
        <v>278029</v>
      </c>
      <c r="T18" s="6">
        <f>+S18/T8</f>
        <v>0.12210910098668346</v>
      </c>
      <c r="U18" s="24">
        <f>+T18*U8</f>
        <v>0</v>
      </c>
      <c r="V18" s="116">
        <f>+M18/2*0</f>
        <v>0</v>
      </c>
      <c r="W18" s="117">
        <f>448000-280000</f>
        <v>168000</v>
      </c>
    </row>
    <row r="19" spans="1:23" ht="15" customHeight="1" x14ac:dyDescent="0.25">
      <c r="A19" s="103">
        <v>1</v>
      </c>
      <c r="B19" s="104" t="s">
        <v>75</v>
      </c>
      <c r="C19" s="105">
        <v>45621</v>
      </c>
      <c r="D19" s="106">
        <f t="shared" si="5"/>
        <v>938025.83333333326</v>
      </c>
      <c r="E19" s="107">
        <f t="shared" si="0"/>
        <v>9380.2583333333332</v>
      </c>
      <c r="F19" s="106">
        <f t="shared" si="7"/>
        <v>78918.92743583332</v>
      </c>
      <c r="G19" s="108">
        <v>0</v>
      </c>
      <c r="H19" s="109">
        <f t="shared" si="1"/>
        <v>1026325.0191024998</v>
      </c>
      <c r="I19" s="110">
        <f t="shared" si="2"/>
        <v>206588.03923893746</v>
      </c>
      <c r="J19" s="111">
        <f t="shared" si="6"/>
        <v>117357.46389</v>
      </c>
      <c r="K19" s="112">
        <f t="shared" si="3"/>
        <v>937094.4437535624</v>
      </c>
      <c r="L19" s="113">
        <v>8</v>
      </c>
      <c r="M19" s="111">
        <f t="shared" si="4"/>
        <v>937094.4437535624</v>
      </c>
      <c r="N19" s="114">
        <f>+M19*1.0833/30*29</f>
        <v>981315.93055429286</v>
      </c>
      <c r="O19" s="115">
        <v>1</v>
      </c>
      <c r="P19" s="110">
        <f>380000+100000</f>
        <v>480000</v>
      </c>
      <c r="Q19" s="110">
        <f>110000</f>
        <v>110000</v>
      </c>
      <c r="R19" s="110">
        <v>280000</v>
      </c>
      <c r="S19" s="78">
        <f>+N19-P19-Q19-R19</f>
        <v>111315.93055429286</v>
      </c>
      <c r="T19" s="6">
        <f>+S19/T8</f>
        <v>4.8889461910379101E-2</v>
      </c>
      <c r="U19" s="24">
        <f>+T19*U8</f>
        <v>0</v>
      </c>
      <c r="V19" s="116">
        <f>+M19/2*0</f>
        <v>0</v>
      </c>
      <c r="W19" s="120">
        <f>490000-280000-100000</f>
        <v>110000</v>
      </c>
    </row>
    <row r="20" spans="1:23" ht="15" customHeight="1" x14ac:dyDescent="0.25">
      <c r="A20" s="103">
        <v>1</v>
      </c>
      <c r="B20" s="104" t="s">
        <v>76</v>
      </c>
      <c r="C20" s="105">
        <v>45643</v>
      </c>
      <c r="D20" s="106">
        <f t="shared" si="5"/>
        <v>938025.83333333326</v>
      </c>
      <c r="E20" s="107">
        <f t="shared" si="0"/>
        <v>9380.2583333333332</v>
      </c>
      <c r="F20" s="106">
        <f t="shared" si="7"/>
        <v>78918.92743583332</v>
      </c>
      <c r="G20" s="108">
        <v>0</v>
      </c>
      <c r="H20" s="109">
        <f t="shared" si="1"/>
        <v>1026325.0191024998</v>
      </c>
      <c r="I20" s="110">
        <f t="shared" si="2"/>
        <v>206588.03923893746</v>
      </c>
      <c r="J20" s="111">
        <f t="shared" si="6"/>
        <v>117357.46389</v>
      </c>
      <c r="K20" s="112">
        <f t="shared" si="3"/>
        <v>937094.4437535624</v>
      </c>
      <c r="L20" s="113">
        <v>5</v>
      </c>
      <c r="M20" s="111">
        <f t="shared" si="4"/>
        <v>585684.02734597656</v>
      </c>
      <c r="N20" s="114">
        <f>+M20*1.0833</f>
        <v>634471.50682389631</v>
      </c>
      <c r="O20" s="115"/>
      <c r="P20" s="110">
        <f>100000+200000</f>
        <v>300000</v>
      </c>
      <c r="Q20" s="110">
        <f>20000+10000</f>
        <v>30000</v>
      </c>
      <c r="R20" s="110">
        <v>180000</v>
      </c>
      <c r="S20" s="78">
        <f>+N20-P20-Q20-R20</f>
        <v>124471.50682389631</v>
      </c>
      <c r="T20" s="6">
        <f>+S20/T8</f>
        <v>5.466733253266319E-2</v>
      </c>
      <c r="U20" s="24">
        <f>+T20*U8</f>
        <v>0</v>
      </c>
      <c r="V20" s="116"/>
      <c r="W20">
        <f>320000-200000-100000</f>
        <v>20000</v>
      </c>
    </row>
    <row r="21" spans="1:23" ht="15" customHeight="1" x14ac:dyDescent="0.25">
      <c r="A21" s="103">
        <v>1</v>
      </c>
      <c r="B21" s="104" t="s">
        <v>77</v>
      </c>
      <c r="C21" s="105">
        <v>45707</v>
      </c>
      <c r="D21" s="106">
        <f t="shared" si="5"/>
        <v>938025.83333333326</v>
      </c>
      <c r="E21" s="107">
        <f t="shared" si="0"/>
        <v>9380.2583333333332</v>
      </c>
      <c r="F21" s="118">
        <f>+(D21+E21)*8.33/100*0</f>
        <v>0</v>
      </c>
      <c r="G21" s="108">
        <f>+G20</f>
        <v>0</v>
      </c>
      <c r="H21" s="109">
        <f t="shared" si="1"/>
        <v>947406.09166666656</v>
      </c>
      <c r="I21" s="110">
        <f t="shared" si="2"/>
        <v>191198.84838894996</v>
      </c>
      <c r="J21" s="111">
        <f t="shared" si="6"/>
        <v>117357.46389</v>
      </c>
      <c r="K21" s="112">
        <f t="shared" si="3"/>
        <v>873564.70716771658</v>
      </c>
      <c r="L21" s="113">
        <v>8</v>
      </c>
      <c r="M21" s="111">
        <f t="shared" si="4"/>
        <v>873564.70716771658</v>
      </c>
      <c r="N21" s="114">
        <f>+M21*1.0833/30*19</f>
        <v>599344.00994069863</v>
      </c>
      <c r="O21" s="115">
        <v>11</v>
      </c>
      <c r="P21" s="110">
        <v>250000</v>
      </c>
      <c r="Q21" s="110">
        <f>50000+10000+0</f>
        <v>60000</v>
      </c>
      <c r="R21" s="110">
        <v>290000</v>
      </c>
      <c r="S21" s="78">
        <f>+N21-P21-Q21-R21</f>
        <v>-655.99005930137355</v>
      </c>
      <c r="T21" s="6">
        <f>+S21/T8</f>
        <v>-2.8810791822972388E-4</v>
      </c>
      <c r="U21" s="24">
        <f>+T21*U8</f>
        <v>0</v>
      </c>
      <c r="V21" s="116"/>
      <c r="W21" s="117">
        <f>300000-250000</f>
        <v>50000</v>
      </c>
    </row>
    <row r="22" spans="1:23" ht="15" customHeight="1" x14ac:dyDescent="0.25">
      <c r="A22" s="103">
        <v>1</v>
      </c>
      <c r="B22" s="104" t="s">
        <v>78</v>
      </c>
      <c r="C22" s="105">
        <v>45705</v>
      </c>
      <c r="D22" s="106">
        <f t="shared" si="5"/>
        <v>938025.83333333326</v>
      </c>
      <c r="E22" s="107">
        <f t="shared" si="0"/>
        <v>9380.2583333333332</v>
      </c>
      <c r="F22" s="106">
        <f>+(D22+E22)*8.33/100</f>
        <v>78918.92743583332</v>
      </c>
      <c r="G22" s="108">
        <f>+G21</f>
        <v>0</v>
      </c>
      <c r="H22" s="109">
        <f t="shared" si="1"/>
        <v>1026325.0191024998</v>
      </c>
      <c r="I22" s="110">
        <f t="shared" si="2"/>
        <v>206588.03923893746</v>
      </c>
      <c r="J22" s="111">
        <f t="shared" si="6"/>
        <v>117357.46389</v>
      </c>
      <c r="K22" s="112">
        <f t="shared" si="3"/>
        <v>937094.4437535624</v>
      </c>
      <c r="L22" s="113">
        <v>8</v>
      </c>
      <c r="M22" s="111">
        <f t="shared" si="4"/>
        <v>937094.4437535624</v>
      </c>
      <c r="N22" s="114">
        <f>+M22*1.0833</f>
        <v>1015154.410918234</v>
      </c>
      <c r="O22" s="115"/>
      <c r="P22" s="110">
        <v>390000</v>
      </c>
      <c r="Q22" s="110">
        <v>120000</v>
      </c>
      <c r="R22" s="110">
        <v>350000</v>
      </c>
      <c r="S22" s="78">
        <f>+(N22-P22-Q22-R22)*1</f>
        <v>155154.41091823403</v>
      </c>
      <c r="T22" s="6">
        <f>+S22/T8</f>
        <v>6.8143127628211522E-2</v>
      </c>
      <c r="U22" s="24">
        <f>+T22*U8</f>
        <v>0</v>
      </c>
      <c r="V22" s="116">
        <f>+M22/2*0</f>
        <v>0</v>
      </c>
      <c r="W22" s="117">
        <f>510000-390000</f>
        <v>120000</v>
      </c>
    </row>
    <row r="23" spans="1:23" ht="15" customHeight="1" x14ac:dyDescent="0.25">
      <c r="A23" s="103">
        <v>1</v>
      </c>
      <c r="B23" s="104" t="s">
        <v>79</v>
      </c>
      <c r="C23" s="105">
        <v>45775</v>
      </c>
      <c r="D23" s="106">
        <f t="shared" si="5"/>
        <v>938025.83333333326</v>
      </c>
      <c r="E23" s="107">
        <f t="shared" si="0"/>
        <v>9380.2583333333332</v>
      </c>
      <c r="F23" s="106">
        <f>+(D23+E23)*8.33/100*1</f>
        <v>78918.92743583332</v>
      </c>
      <c r="G23" s="108">
        <f>+G22</f>
        <v>0</v>
      </c>
      <c r="H23" s="109">
        <f t="shared" si="1"/>
        <v>1026325.0191024998</v>
      </c>
      <c r="I23" s="110">
        <f t="shared" si="2"/>
        <v>206588.03923893746</v>
      </c>
      <c r="J23" s="111">
        <f t="shared" si="6"/>
        <v>117357.46389</v>
      </c>
      <c r="K23" s="112">
        <f t="shared" si="3"/>
        <v>937094.4437535624</v>
      </c>
      <c r="L23" s="113">
        <v>8</v>
      </c>
      <c r="M23" s="111">
        <f t="shared" si="4"/>
        <v>937094.4437535624</v>
      </c>
      <c r="N23" s="114">
        <f>+M23*1.0833</f>
        <v>1015154.410918234</v>
      </c>
      <c r="O23" s="115"/>
      <c r="P23" s="110">
        <v>380000</v>
      </c>
      <c r="Q23" s="110">
        <f>130000</f>
        <v>130000</v>
      </c>
      <c r="R23" s="110">
        <f>350000+100000</f>
        <v>450000</v>
      </c>
      <c r="S23" s="78">
        <f>+N23-P23-Q23-R23</f>
        <v>55154.410918234033</v>
      </c>
      <c r="T23" s="6">
        <f>+S23/T8</f>
        <v>2.4223572119008004E-2</v>
      </c>
      <c r="U23" s="24">
        <f>+T23*U8</f>
        <v>0</v>
      </c>
      <c r="V23" s="116">
        <f>+M23/2*0</f>
        <v>0</v>
      </c>
      <c r="W23">
        <f>510000-380000</f>
        <v>130000</v>
      </c>
    </row>
    <row r="24" spans="1:23" ht="15" customHeight="1" x14ac:dyDescent="0.25">
      <c r="A24" s="103">
        <v>0</v>
      </c>
      <c r="B24" s="104" t="s">
        <v>80</v>
      </c>
      <c r="C24" s="105">
        <v>45943</v>
      </c>
      <c r="D24" s="106">
        <f t="shared" si="5"/>
        <v>938025.83333333326</v>
      </c>
      <c r="E24" s="107">
        <f t="shared" si="0"/>
        <v>0</v>
      </c>
      <c r="F24" s="118">
        <f>+(D24+E24)*8.33/100*0</f>
        <v>0</v>
      </c>
      <c r="G24" s="108">
        <f>+G23</f>
        <v>0</v>
      </c>
      <c r="H24" s="109">
        <f t="shared" si="1"/>
        <v>938025.83333333326</v>
      </c>
      <c r="I24" s="110">
        <f t="shared" si="2"/>
        <v>189369.69801394996</v>
      </c>
      <c r="J24" s="111">
        <f t="shared" si="6"/>
        <v>117357.46389</v>
      </c>
      <c r="K24" s="112">
        <f t="shared" si="3"/>
        <v>866013.59920938336</v>
      </c>
      <c r="L24" s="113">
        <v>4</v>
      </c>
      <c r="M24" s="111">
        <f t="shared" si="4"/>
        <v>433006.79960469168</v>
      </c>
      <c r="N24" s="114">
        <f>+M24*1.0833/30*27</f>
        <v>422168.63941058627</v>
      </c>
      <c r="O24" s="115">
        <v>3</v>
      </c>
      <c r="P24" s="110">
        <v>160000</v>
      </c>
      <c r="Q24" s="110">
        <v>50000</v>
      </c>
      <c r="R24" s="110">
        <v>150000</v>
      </c>
      <c r="S24" s="78">
        <f>+N24-P24-Q24-R24</f>
        <v>62168.639410586271</v>
      </c>
      <c r="T24" s="6">
        <f>+S24/T8</f>
        <v>2.7304190095249016E-2</v>
      </c>
      <c r="U24" s="24">
        <f>+T24*U8</f>
        <v>0</v>
      </c>
      <c r="V24" s="116">
        <f>+M24/360*4*0</f>
        <v>0</v>
      </c>
      <c r="W24" s="117">
        <f>210000-160000</f>
        <v>50000</v>
      </c>
    </row>
    <row r="25" spans="1:23" ht="15" customHeight="1" x14ac:dyDescent="0.25">
      <c r="A25" s="103">
        <v>0</v>
      </c>
      <c r="B25" s="104" t="s">
        <v>81</v>
      </c>
      <c r="C25" s="105">
        <v>45962</v>
      </c>
      <c r="D25" s="106">
        <f t="shared" si="5"/>
        <v>938025.83333333326</v>
      </c>
      <c r="E25" s="107">
        <f t="shared" si="0"/>
        <v>0</v>
      </c>
      <c r="F25" s="106">
        <f>+(D25+E25)*8.33/100*1</f>
        <v>78137.551916666664</v>
      </c>
      <c r="G25" s="108">
        <f>+G24</f>
        <v>0</v>
      </c>
      <c r="H25" s="109">
        <f t="shared" si="1"/>
        <v>1016163.3852499999</v>
      </c>
      <c r="I25" s="110">
        <f t="shared" si="2"/>
        <v>204606.52063769998</v>
      </c>
      <c r="J25" s="111">
        <f t="shared" si="6"/>
        <v>117357.46389</v>
      </c>
      <c r="K25" s="112">
        <f t="shared" si="3"/>
        <v>928914.32850229996</v>
      </c>
      <c r="L25" s="113">
        <v>3</v>
      </c>
      <c r="M25" s="111">
        <f t="shared" si="4"/>
        <v>348342.87318836246</v>
      </c>
      <c r="N25" s="114">
        <f>+M25*1.0833/30*30</f>
        <v>377359.83452495304</v>
      </c>
      <c r="O25" s="115"/>
      <c r="P25" s="110">
        <v>120000</v>
      </c>
      <c r="Q25" s="110">
        <f>70000+10000</f>
        <v>80000</v>
      </c>
      <c r="R25" s="110">
        <v>130000</v>
      </c>
      <c r="S25" s="78">
        <f>+N25-P25-Q25-R25</f>
        <v>47359.834524953039</v>
      </c>
      <c r="T25" s="6">
        <f>+S25/T8</f>
        <v>2.0800228813253684E-2</v>
      </c>
      <c r="U25" s="24">
        <f>+T25*U8</f>
        <v>0</v>
      </c>
      <c r="V25" s="116">
        <f>+M25/360*3*0</f>
        <v>0</v>
      </c>
      <c r="W25" s="117">
        <f>190000-120000</f>
        <v>70000</v>
      </c>
    </row>
    <row r="26" spans="1:23" ht="15" customHeight="1" x14ac:dyDescent="0.25">
      <c r="A26" s="103">
        <v>3</v>
      </c>
      <c r="B26" s="104" t="s">
        <v>82</v>
      </c>
      <c r="C26" s="105">
        <v>44927</v>
      </c>
      <c r="D26" s="106">
        <f t="shared" si="5"/>
        <v>938025.83333333326</v>
      </c>
      <c r="E26" s="107">
        <f t="shared" si="0"/>
        <v>28140.775000000001</v>
      </c>
      <c r="F26" s="106">
        <f>+(D26+E26)*8.33/100*1</f>
        <v>80481.678474166663</v>
      </c>
      <c r="G26" s="108">
        <f>+G23</f>
        <v>0</v>
      </c>
      <c r="H26" s="109">
        <f t="shared" si="1"/>
        <v>1046648.2868074999</v>
      </c>
      <c r="I26" s="110">
        <f t="shared" si="2"/>
        <v>210551.07644141247</v>
      </c>
      <c r="J26" s="111">
        <f t="shared" si="6"/>
        <v>117357.46389</v>
      </c>
      <c r="K26" s="112">
        <f t="shared" si="3"/>
        <v>953454.67425608751</v>
      </c>
      <c r="L26" s="113">
        <v>4</v>
      </c>
      <c r="M26" s="111">
        <f t="shared" si="4"/>
        <v>476727.33712804376</v>
      </c>
      <c r="N26" s="114">
        <f>+M26*1.0833</f>
        <v>516438.72431080975</v>
      </c>
      <c r="O26" s="115"/>
      <c r="P26" s="110">
        <f>100000+160000</f>
        <v>260000</v>
      </c>
      <c r="Q26" s="110">
        <v>10000</v>
      </c>
      <c r="R26" s="110">
        <v>150000</v>
      </c>
      <c r="S26" s="78">
        <f>+(N26-P26-Q26-R26)*1</f>
        <v>96438.724310809746</v>
      </c>
      <c r="T26" s="6">
        <f>+S26/T8</f>
        <v>4.235545905605384E-2</v>
      </c>
      <c r="U26" s="24">
        <f>+T26*U8</f>
        <v>0</v>
      </c>
      <c r="V26" s="116"/>
    </row>
    <row r="27" spans="1:23" ht="24" customHeight="1" x14ac:dyDescent="0.25">
      <c r="A27" s="121">
        <v>18</v>
      </c>
      <c r="K27" s="122">
        <f>SUM(K9:K26)</f>
        <v>17198737.31330407</v>
      </c>
      <c r="M27" s="123">
        <f>SUM(M9:M26)</f>
        <v>13865338.841721039</v>
      </c>
      <c r="N27" s="124">
        <f>SUM(N9:N26)</f>
        <v>14255778.904150333</v>
      </c>
      <c r="O27" s="125"/>
      <c r="P27" s="126">
        <f t="shared" ref="P27:U27" si="8">SUM(P9:P26)</f>
        <v>6355888.8300000001</v>
      </c>
      <c r="Q27" s="126">
        <f t="shared" si="8"/>
        <v>2023000</v>
      </c>
      <c r="R27" s="126">
        <f t="shared" si="8"/>
        <v>3600000</v>
      </c>
      <c r="S27" s="127">
        <f t="shared" si="8"/>
        <v>2276890.0741503313</v>
      </c>
      <c r="T27" s="128">
        <f t="shared" si="8"/>
        <v>1.0000000000000002</v>
      </c>
      <c r="U27" s="101">
        <f t="shared" si="8"/>
        <v>0</v>
      </c>
      <c r="V27" s="129">
        <f>SUM(V9:V25)</f>
        <v>525808.02863561863</v>
      </c>
    </row>
    <row r="28" spans="1:23" ht="15" customHeight="1" x14ac:dyDescent="0.25">
      <c r="A28" s="1"/>
      <c r="C28" s="2" t="s">
        <v>83</v>
      </c>
      <c r="D28" s="3">
        <f>+B6</f>
        <v>46174</v>
      </c>
      <c r="E28" s="4"/>
      <c r="F28" s="5"/>
      <c r="M28" s="6"/>
      <c r="N28" s="6"/>
      <c r="O28" s="6"/>
      <c r="P28" s="6"/>
      <c r="Q28" s="24"/>
      <c r="R28" s="15"/>
      <c r="S28" s="25">
        <f>+S27/2</f>
        <v>1138445.0370751657</v>
      </c>
    </row>
    <row r="29" spans="1:23" ht="15" customHeight="1" x14ac:dyDescent="0.25">
      <c r="A29" s="1"/>
      <c r="B29" s="8"/>
      <c r="C29" s="9" t="s">
        <v>0</v>
      </c>
      <c r="D29" s="130">
        <v>122300</v>
      </c>
      <c r="E29" s="4" t="s">
        <v>84</v>
      </c>
      <c r="F29" s="16"/>
      <c r="G29" s="16"/>
      <c r="H29" s="16"/>
      <c r="I29" s="16"/>
      <c r="J29" s="16"/>
      <c r="K29" s="15"/>
      <c r="L29" s="16"/>
      <c r="M29" s="16"/>
      <c r="N29" s="131">
        <f>+N28-N27</f>
        <v>-14255778.904150333</v>
      </c>
      <c r="O29" s="131"/>
      <c r="P29" s="15"/>
    </row>
    <row r="30" spans="1:23" ht="15" customHeight="1" x14ac:dyDescent="0.25">
      <c r="A30" s="1"/>
      <c r="B30" s="1"/>
      <c r="C30" s="19" t="s">
        <v>3</v>
      </c>
      <c r="D30" s="132">
        <v>40000</v>
      </c>
      <c r="E30" s="4" t="s">
        <v>84</v>
      </c>
      <c r="K30" s="24"/>
    </row>
    <row r="31" spans="1:23" ht="15" customHeight="1" x14ac:dyDescent="0.25">
      <c r="A31" s="1"/>
      <c r="B31" s="1"/>
      <c r="C31" s="19" t="s">
        <v>5</v>
      </c>
      <c r="D31" s="132">
        <v>108164</v>
      </c>
      <c r="E31" s="4" t="s">
        <v>84</v>
      </c>
      <c r="F31" s="133"/>
      <c r="M31" s="29" t="s">
        <v>8</v>
      </c>
      <c r="N31" s="30">
        <v>65970.33</v>
      </c>
      <c r="O31" s="134"/>
      <c r="P31" s="6"/>
      <c r="Q31" s="6"/>
      <c r="R31" s="24"/>
      <c r="S31" s="25">
        <f>351857.96-215000</f>
        <v>136857.96000000002</v>
      </c>
    </row>
    <row r="32" spans="1:23" ht="15" customHeight="1" x14ac:dyDescent="0.25">
      <c r="A32" s="1"/>
      <c r="B32" s="1"/>
      <c r="C32" s="19" t="s">
        <v>10</v>
      </c>
      <c r="D32" s="132">
        <v>0</v>
      </c>
      <c r="E32" s="4" t="s">
        <v>84</v>
      </c>
    </row>
    <row r="33" spans="1:20" ht="15" customHeight="1" x14ac:dyDescent="0.25">
      <c r="A33" s="1"/>
      <c r="B33" s="1"/>
      <c r="C33" s="19" t="s">
        <v>13</v>
      </c>
      <c r="D33" s="132">
        <v>24100</v>
      </c>
      <c r="E33" s="4" t="s">
        <v>84</v>
      </c>
      <c r="M33" s="29" t="s">
        <v>85</v>
      </c>
      <c r="N33" s="30">
        <v>100000</v>
      </c>
      <c r="O33" s="134"/>
      <c r="P33" s="6"/>
    </row>
    <row r="34" spans="1:20" ht="15" customHeight="1" x14ac:dyDescent="0.25">
      <c r="A34" s="1"/>
      <c r="B34" s="1"/>
      <c r="C34" s="19" t="s">
        <v>16</v>
      </c>
      <c r="D34" s="132">
        <v>81690</v>
      </c>
      <c r="E34" s="4" t="s">
        <v>86</v>
      </c>
      <c r="M34" s="6"/>
      <c r="P34" s="6"/>
      <c r="S34" s="7"/>
      <c r="T34">
        <v>15000</v>
      </c>
    </row>
    <row r="35" spans="1:20" ht="15" customHeight="1" x14ac:dyDescent="0.25">
      <c r="A35" s="1"/>
      <c r="B35" s="1"/>
      <c r="C35" s="19" t="s">
        <v>20</v>
      </c>
      <c r="D35" s="132">
        <v>101060</v>
      </c>
      <c r="E35" s="4" t="s">
        <v>86</v>
      </c>
      <c r="M35" s="29" t="s">
        <v>87</v>
      </c>
      <c r="N35" s="30" t="s">
        <v>88</v>
      </c>
      <c r="O35" s="29"/>
      <c r="P35" s="30"/>
      <c r="S35" s="7"/>
      <c r="T35">
        <v>50000</v>
      </c>
    </row>
    <row r="36" spans="1:20" ht="15" customHeight="1" x14ac:dyDescent="0.25">
      <c r="A36" s="1"/>
      <c r="B36" s="1"/>
      <c r="C36" s="19" t="s">
        <v>24</v>
      </c>
      <c r="D36" s="132">
        <v>19553</v>
      </c>
      <c r="E36" s="4" t="s">
        <v>84</v>
      </c>
      <c r="M36" s="6"/>
      <c r="P36" s="6"/>
      <c r="S36" s="7"/>
      <c r="T36">
        <v>50000</v>
      </c>
    </row>
    <row r="37" spans="1:20" ht="15" customHeight="1" x14ac:dyDescent="0.25">
      <c r="A37" s="1"/>
      <c r="B37" s="1"/>
      <c r="C37" s="19" t="s">
        <v>29</v>
      </c>
      <c r="D37" s="132">
        <v>57000</v>
      </c>
      <c r="E37" s="4" t="s">
        <v>86</v>
      </c>
      <c r="M37" s="6"/>
      <c r="P37" s="6"/>
      <c r="S37" s="7"/>
      <c r="T37">
        <v>87000</v>
      </c>
    </row>
    <row r="38" spans="1:20" ht="15" customHeight="1" x14ac:dyDescent="0.25">
      <c r="A38" s="1"/>
      <c r="B38" s="1"/>
      <c r="C38" s="19" t="s">
        <v>89</v>
      </c>
      <c r="D38" s="132">
        <v>0</v>
      </c>
      <c r="E38" s="4" t="s">
        <v>84</v>
      </c>
      <c r="H38">
        <f>993156*4</f>
        <v>3972624</v>
      </c>
    </row>
    <row r="39" spans="1:20" ht="15" customHeight="1" x14ac:dyDescent="0.25">
      <c r="A39" s="1"/>
      <c r="B39" s="1"/>
      <c r="C39" s="53"/>
      <c r="D39" s="54">
        <f>SUM(D29:D38)</f>
        <v>553867</v>
      </c>
      <c r="E39" s="21"/>
      <c r="H39">
        <f>31+28+31+30+31+7</f>
        <v>158</v>
      </c>
    </row>
    <row r="40" spans="1:20" ht="15" customHeight="1" x14ac:dyDescent="0.25">
      <c r="A40" s="1"/>
      <c r="B40" s="1"/>
      <c r="C40" s="59" t="s">
        <v>39</v>
      </c>
      <c r="D40" s="60">
        <f>+D39/2</f>
        <v>276933.5</v>
      </c>
      <c r="E40" s="21"/>
      <c r="H40">
        <f>993156/2</f>
        <v>496578</v>
      </c>
    </row>
    <row r="41" spans="1:20" ht="15" customHeight="1" x14ac:dyDescent="0.25">
      <c r="A41" s="1"/>
      <c r="B41" s="36"/>
      <c r="C41" s="59" t="s">
        <v>41</v>
      </c>
      <c r="D41" s="61">
        <v>0</v>
      </c>
      <c r="E41" s="4"/>
      <c r="H41">
        <f>993157+3972624+496600</f>
        <v>5462381</v>
      </c>
    </row>
    <row r="42" spans="1:20" ht="15" customHeight="1" x14ac:dyDescent="0.25">
      <c r="A42" s="1"/>
      <c r="B42" s="1"/>
      <c r="C42" s="59" t="s">
        <v>42</v>
      </c>
      <c r="D42" s="61">
        <f>308000/2</f>
        <v>154000</v>
      </c>
      <c r="E42" s="4"/>
    </row>
    <row r="43" spans="1:20" ht="15" customHeight="1" x14ac:dyDescent="0.25">
      <c r="A43" s="65"/>
      <c r="B43" s="65"/>
      <c r="C43" s="66" t="s">
        <v>44</v>
      </c>
      <c r="D43" s="67">
        <f>+D40+D42+D41</f>
        <v>430933.5</v>
      </c>
      <c r="E43" s="68"/>
      <c r="F43" s="69"/>
      <c r="G43" s="69"/>
      <c r="H43" s="69"/>
      <c r="I43" s="69"/>
      <c r="J43" s="69"/>
      <c r="K43" s="69"/>
      <c r="L43" s="69"/>
      <c r="M43" s="70"/>
      <c r="N43" s="69"/>
      <c r="O43" s="69"/>
      <c r="P43" s="70"/>
      <c r="Q43" s="69"/>
      <c r="R43" s="69"/>
      <c r="S43" s="71"/>
    </row>
    <row r="44" spans="1:20" ht="15.75" customHeight="1" x14ac:dyDescent="0.25"/>
    <row r="45" spans="1:20" ht="15.75" customHeight="1" x14ac:dyDescent="0.25"/>
    <row r="46" spans="1:20" ht="15.75" customHeight="1" x14ac:dyDescent="0.25"/>
    <row r="47" spans="1:20" ht="15.75" customHeight="1" x14ac:dyDescent="0.25"/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5:N5"/>
  </mergeCells>
  <pageMargins left="0.15763888888888899" right="0.15763888888888899" top="7.8472222222222193E-2" bottom="0" header="0.511811023622047" footer="0.511811023622047"/>
  <pageSetup paperSize="9" scale="38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Z1000"/>
  <sheetViews>
    <sheetView topLeftCell="A28" zoomScaleNormal="100" workbookViewId="0">
      <pane xSplit="2" topLeftCell="C1" activePane="topRight" state="frozen"/>
      <selection activeCell="A28" sqref="A28"/>
      <selection pane="topRight" activeCell="O10" sqref="O10"/>
    </sheetView>
  </sheetViews>
  <sheetFormatPr baseColWidth="10" defaultColWidth="14.42578125" defaultRowHeight="15" x14ac:dyDescent="0.25"/>
  <cols>
    <col min="1" max="1" width="3.140625" customWidth="1"/>
    <col min="2" max="2" width="52.7109375" customWidth="1"/>
    <col min="3" max="3" width="17.42578125" customWidth="1"/>
    <col min="5" max="5" width="14.7109375" customWidth="1"/>
    <col min="6" max="6" width="12.85546875" customWidth="1"/>
    <col min="7" max="7" width="11.140625" customWidth="1"/>
    <col min="8" max="8" width="13.42578125" customWidth="1"/>
    <col min="9" max="9" width="14" customWidth="1"/>
    <col min="10" max="10" width="14.140625" customWidth="1"/>
    <col min="11" max="11" width="15.7109375" customWidth="1"/>
    <col min="12" max="12" width="14.28515625" customWidth="1"/>
    <col min="13" max="13" width="13.7109375" customWidth="1"/>
    <col min="14" max="14" width="18.28515625" customWidth="1"/>
    <col min="15" max="15" width="7.42578125" customWidth="1"/>
    <col min="16" max="16" width="20.5703125" customWidth="1"/>
    <col min="17" max="17" width="17" customWidth="1"/>
    <col min="18" max="18" width="15.5703125" customWidth="1"/>
    <col min="19" max="19" width="51.5703125" customWidth="1"/>
    <col min="20" max="20" width="17.85546875" customWidth="1"/>
    <col min="21" max="21" width="20.5703125" customWidth="1"/>
    <col min="22" max="22" width="16" customWidth="1"/>
    <col min="23" max="26" width="11.7109375" customWidth="1"/>
  </cols>
  <sheetData>
    <row r="2" spans="1:26" ht="15" customHeight="1" x14ac:dyDescent="0.25">
      <c r="D2" t="s">
        <v>45</v>
      </c>
    </row>
    <row r="3" spans="1:26" ht="15" customHeight="1" x14ac:dyDescent="0.25">
      <c r="D3" s="72">
        <f>+D4/48*40</f>
        <v>923435</v>
      </c>
      <c r="E3" s="73">
        <f>+D3*A8*0.01*0</f>
        <v>0</v>
      </c>
      <c r="F3" s="72">
        <f>+(D3+E3)*8.33/100</f>
        <v>76922.135500000004</v>
      </c>
      <c r="G3" s="74"/>
      <c r="H3" s="72">
        <f>+D3+E3+F3+G3</f>
        <v>1000357.1355</v>
      </c>
      <c r="I3" s="75">
        <f>+H3*0.195+J3*0.055</f>
        <v>201524.30193644998</v>
      </c>
      <c r="J3" s="76">
        <f>J4*1.0833/48*40</f>
        <v>117357.46389</v>
      </c>
      <c r="K3" s="77">
        <f>+H3-I3+J3</f>
        <v>916190.29745355004</v>
      </c>
      <c r="M3" s="24"/>
    </row>
    <row r="4" spans="1:26" ht="15" customHeight="1" x14ac:dyDescent="0.25">
      <c r="C4" s="79" t="s">
        <v>46</v>
      </c>
      <c r="D4" s="72">
        <f>+C7</f>
        <v>1108122</v>
      </c>
      <c r="E4" s="73">
        <v>0</v>
      </c>
      <c r="F4" s="72">
        <f>+(D4+E4)*8.33/100</f>
        <v>92306.562600000005</v>
      </c>
      <c r="G4" s="80">
        <v>0</v>
      </c>
      <c r="H4" s="72">
        <f>+D4+E4+F4+G4</f>
        <v>1200428.5626000001</v>
      </c>
      <c r="I4" s="75">
        <f>+H4*0.195+J4*0.055</f>
        <v>241233.56750700003</v>
      </c>
      <c r="J4" s="76">
        <f>(100000+20000)*1.083333</f>
        <v>129999.96</v>
      </c>
      <c r="K4" s="77">
        <f>+H4-I4+J4</f>
        <v>1089194.9550930001</v>
      </c>
    </row>
    <row r="5" spans="1:26" ht="15" customHeight="1" x14ac:dyDescent="0.25">
      <c r="B5" s="182" t="s">
        <v>90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81"/>
    </row>
    <row r="6" spans="1:26" ht="15" customHeight="1" x14ac:dyDescent="0.25">
      <c r="A6" s="8"/>
      <c r="B6" s="82">
        <v>46143</v>
      </c>
      <c r="C6" s="83">
        <f>+C7</f>
        <v>1108122</v>
      </c>
      <c r="D6" s="84"/>
      <c r="E6" s="15"/>
      <c r="F6" s="85"/>
      <c r="G6" s="15"/>
      <c r="H6" s="16"/>
      <c r="I6" s="86"/>
      <c r="J6" s="86"/>
      <c r="K6" s="87"/>
      <c r="L6" s="16"/>
      <c r="M6" s="16"/>
      <c r="N6" s="16"/>
      <c r="O6" s="16"/>
      <c r="P6" s="16"/>
      <c r="Q6" s="88"/>
      <c r="R6" s="4"/>
      <c r="S6" s="4"/>
    </row>
    <row r="7" spans="1:26" ht="15" customHeight="1" x14ac:dyDescent="0.25">
      <c r="A7" s="1"/>
      <c r="B7" s="89" t="s">
        <v>48</v>
      </c>
      <c r="C7" s="90">
        <v>1108122</v>
      </c>
      <c r="J7" s="91"/>
      <c r="K7" s="24"/>
    </row>
    <row r="8" spans="1:26" ht="15" customHeight="1" x14ac:dyDescent="0.25">
      <c r="A8" s="92"/>
      <c r="B8" s="93"/>
      <c r="C8" s="94" t="s">
        <v>49</v>
      </c>
      <c r="D8" s="94" t="s">
        <v>50</v>
      </c>
      <c r="E8" s="94" t="s">
        <v>51</v>
      </c>
      <c r="F8" s="94" t="s">
        <v>52</v>
      </c>
      <c r="G8" s="95" t="s">
        <v>53</v>
      </c>
      <c r="H8" s="96" t="s">
        <v>54</v>
      </c>
      <c r="I8" s="94" t="s">
        <v>55</v>
      </c>
      <c r="J8" s="94" t="s">
        <v>56</v>
      </c>
      <c r="K8" s="94" t="s">
        <v>57</v>
      </c>
      <c r="L8" s="94" t="s">
        <v>58</v>
      </c>
      <c r="M8" s="94" t="s">
        <v>59</v>
      </c>
      <c r="N8" s="97" t="s">
        <v>60</v>
      </c>
      <c r="O8" s="97" t="s">
        <v>61</v>
      </c>
      <c r="P8" s="98" t="s">
        <v>62</v>
      </c>
      <c r="Q8" s="98" t="s">
        <v>62</v>
      </c>
      <c r="R8" s="98" t="s">
        <v>62</v>
      </c>
      <c r="S8" s="99" t="s">
        <v>63</v>
      </c>
      <c r="T8" s="100">
        <f>+S28</f>
        <v>-1.0449799825437367E-2</v>
      </c>
      <c r="U8" s="101">
        <v>976500</v>
      </c>
      <c r="V8" s="102" t="s">
        <v>64</v>
      </c>
    </row>
    <row r="9" spans="1:26" ht="15" customHeight="1" x14ac:dyDescent="0.25">
      <c r="A9" s="103">
        <v>15</v>
      </c>
      <c r="B9" s="104" t="s">
        <v>65</v>
      </c>
      <c r="C9" s="105">
        <v>40664</v>
      </c>
      <c r="D9" s="106">
        <f>+C7/48*40</f>
        <v>923435</v>
      </c>
      <c r="E9" s="107">
        <f t="shared" ref="E9:E27" si="0">+D9*A9*0.01</f>
        <v>138515.25</v>
      </c>
      <c r="F9" s="106">
        <f>+(D9+E9)*8.33/100</f>
        <v>88460.455824999997</v>
      </c>
      <c r="G9" s="108">
        <f>+G4</f>
        <v>0</v>
      </c>
      <c r="H9" s="109">
        <f t="shared" ref="H9:H27" si="1">+D9+E9+F9+G9</f>
        <v>1150410.7058250001</v>
      </c>
      <c r="I9" s="110">
        <f t="shared" ref="I9:I27" si="2">+H9*0.195+J9*0.055</f>
        <v>230784.748149825</v>
      </c>
      <c r="J9" s="111">
        <f>+J4/48*40*1.0833</f>
        <v>117357.46389</v>
      </c>
      <c r="K9" s="112">
        <f t="shared" ref="K9:K27" si="3">+H9-I9+J9</f>
        <v>1036983.4215651751</v>
      </c>
      <c r="L9" s="113">
        <v>8</v>
      </c>
      <c r="M9" s="111">
        <f t="shared" ref="M9:M27" si="4">+K9/8*L9</f>
        <v>1036983.4215651751</v>
      </c>
      <c r="N9" s="114">
        <f>+M9*1.0833</f>
        <v>1123364.140581554</v>
      </c>
      <c r="O9" s="115"/>
      <c r="P9" s="110">
        <f>+D44+350000</f>
        <v>663415.5</v>
      </c>
      <c r="Q9" s="110">
        <v>150000</v>
      </c>
      <c r="R9" s="110">
        <f>300000+9948.64</f>
        <v>309948.64</v>
      </c>
      <c r="S9" s="78">
        <f>+N9-P9-Q9-R9</f>
        <v>5.8155402075499296E-4</v>
      </c>
      <c r="T9" s="6">
        <f>+S9/T8</f>
        <v>-5.5652168507510383E-2</v>
      </c>
      <c r="U9" s="24">
        <f>+T9*U8</f>
        <v>-54344.342547583889</v>
      </c>
      <c r="V9" s="116">
        <f>+M9/2</f>
        <v>518491.71078258753</v>
      </c>
      <c r="W9">
        <v>465000</v>
      </c>
    </row>
    <row r="10" spans="1:26" ht="15" customHeight="1" x14ac:dyDescent="0.25">
      <c r="A10" s="135">
        <v>12</v>
      </c>
      <c r="B10" s="136" t="s">
        <v>66</v>
      </c>
      <c r="C10" s="137">
        <v>41529</v>
      </c>
      <c r="D10" s="138">
        <f t="shared" ref="D10:D18" si="5">+D9</f>
        <v>923435</v>
      </c>
      <c r="E10" s="139">
        <f t="shared" si="0"/>
        <v>110812.2</v>
      </c>
      <c r="F10" s="138">
        <f>+(D10+E10)*8.33/100*1*0</f>
        <v>0</v>
      </c>
      <c r="G10" s="140">
        <f>+G9</f>
        <v>0</v>
      </c>
      <c r="H10" s="141">
        <f t="shared" si="1"/>
        <v>1034247.2</v>
      </c>
      <c r="I10" s="142">
        <f t="shared" si="2"/>
        <v>208132.86451394999</v>
      </c>
      <c r="J10" s="143">
        <f t="shared" ref="J10:J18" si="6">+J9</f>
        <v>117357.46389</v>
      </c>
      <c r="K10" s="144">
        <f t="shared" si="3"/>
        <v>943471.79937605001</v>
      </c>
      <c r="L10" s="145">
        <v>8</v>
      </c>
      <c r="M10" s="143">
        <f t="shared" si="4"/>
        <v>943471.79937605001</v>
      </c>
      <c r="N10" s="146">
        <f>+M10*1.0833/30*27</f>
        <v>919856.7002376673</v>
      </c>
      <c r="O10" s="147">
        <v>3</v>
      </c>
      <c r="P10" s="142">
        <v>350000</v>
      </c>
      <c r="Q10" s="142">
        <v>200000</v>
      </c>
      <c r="R10" s="142">
        <f>300000+69856.7</f>
        <v>369856.7</v>
      </c>
      <c r="S10" s="148">
        <f>+N10-P10-Q10-R10</f>
        <v>2.3766729282215238E-4</v>
      </c>
      <c r="T10" s="149">
        <f>+S10/T8</f>
        <v>-2.2743717276154141E-2</v>
      </c>
      <c r="U10" s="150">
        <f>+T10*U8</f>
        <v>-22209.23992016452</v>
      </c>
      <c r="V10" s="151">
        <f>+M10/2*0</f>
        <v>0</v>
      </c>
      <c r="W10" s="152">
        <v>575000</v>
      </c>
      <c r="X10" s="152"/>
      <c r="Y10" s="152"/>
      <c r="Z10" s="152"/>
    </row>
    <row r="11" spans="1:26" ht="15" customHeight="1" x14ac:dyDescent="0.25">
      <c r="A11" s="103">
        <v>3</v>
      </c>
      <c r="B11" s="104" t="s">
        <v>67</v>
      </c>
      <c r="C11" s="105">
        <v>45017</v>
      </c>
      <c r="D11" s="106">
        <f t="shared" si="5"/>
        <v>923435</v>
      </c>
      <c r="E11" s="107">
        <f t="shared" si="0"/>
        <v>27703.05</v>
      </c>
      <c r="F11" s="106">
        <f t="shared" ref="F11:F17" si="7">+(D11+E11)*8.33/100</f>
        <v>79229.799565000008</v>
      </c>
      <c r="G11" s="108">
        <f>+G10</f>
        <v>0</v>
      </c>
      <c r="H11" s="109">
        <f t="shared" si="1"/>
        <v>1030367.849565</v>
      </c>
      <c r="I11" s="110">
        <f t="shared" si="2"/>
        <v>207376.391179125</v>
      </c>
      <c r="J11" s="111">
        <f t="shared" si="6"/>
        <v>117357.46389</v>
      </c>
      <c r="K11" s="112">
        <f t="shared" si="3"/>
        <v>940348.922275875</v>
      </c>
      <c r="L11" s="113">
        <v>6</v>
      </c>
      <c r="M11" s="111">
        <f t="shared" si="4"/>
        <v>705261.69170690631</v>
      </c>
      <c r="N11" s="114">
        <f>+M11*1.0833</f>
        <v>764009.9906260916</v>
      </c>
      <c r="O11" s="115"/>
      <c r="P11" s="110">
        <v>300000</v>
      </c>
      <c r="Q11" s="110">
        <v>100000</v>
      </c>
      <c r="R11" s="110">
        <f>300000+64009.99</f>
        <v>364009.99</v>
      </c>
      <c r="S11" s="78">
        <f>+N11-P11-Q11-R11</f>
        <v>6.2609161250293255E-4</v>
      </c>
      <c r="T11" s="6">
        <f>+S11/T8</f>
        <v>-5.9914220651277217E-2</v>
      </c>
      <c r="U11" s="24">
        <f>+T11*U8</f>
        <v>-58506.236465972201</v>
      </c>
      <c r="V11" s="116"/>
      <c r="W11">
        <v>585000</v>
      </c>
    </row>
    <row r="12" spans="1:26" ht="15" customHeight="1" x14ac:dyDescent="0.25">
      <c r="A12" s="103">
        <v>10</v>
      </c>
      <c r="B12" s="104" t="s">
        <v>68</v>
      </c>
      <c r="C12" s="105">
        <v>42269</v>
      </c>
      <c r="D12" s="106">
        <f t="shared" si="5"/>
        <v>923435</v>
      </c>
      <c r="E12" s="107">
        <f t="shared" si="0"/>
        <v>92343.5</v>
      </c>
      <c r="F12" s="106">
        <f t="shared" si="7"/>
        <v>84614.34904999999</v>
      </c>
      <c r="G12" s="108">
        <f>+G11</f>
        <v>0</v>
      </c>
      <c r="H12" s="109">
        <f t="shared" si="1"/>
        <v>1100392.8490500001</v>
      </c>
      <c r="I12" s="110">
        <f t="shared" si="2"/>
        <v>221031.26607870002</v>
      </c>
      <c r="J12" s="111">
        <f t="shared" si="6"/>
        <v>117357.46389</v>
      </c>
      <c r="K12" s="112">
        <f t="shared" si="3"/>
        <v>996719.04686130001</v>
      </c>
      <c r="L12" s="113">
        <v>4</v>
      </c>
      <c r="M12" s="111">
        <f t="shared" si="4"/>
        <v>498359.52343065001</v>
      </c>
      <c r="N12" s="114">
        <f>+M12*1.0833/30*30</f>
        <v>539872.87173242308</v>
      </c>
      <c r="O12" s="115">
        <v>0</v>
      </c>
      <c r="P12" s="110">
        <f>+N32+250000</f>
        <v>315970.33</v>
      </c>
      <c r="Q12" s="110">
        <v>100000</v>
      </c>
      <c r="R12" s="110">
        <f>100000+23902.54</f>
        <v>123902.54000000001</v>
      </c>
      <c r="S12" s="78">
        <f>+(N12-P12-Q12-R12)*1</f>
        <v>1.7324230575468391E-3</v>
      </c>
      <c r="T12" s="6">
        <f>+S12/T8</f>
        <v>-0.16578528646354526</v>
      </c>
      <c r="U12" s="24">
        <f>+T12*U8*1</f>
        <v>-161889.33223165196</v>
      </c>
      <c r="V12" s="116"/>
      <c r="W12">
        <v>275000</v>
      </c>
    </row>
    <row r="13" spans="1:26" ht="15" customHeight="1" x14ac:dyDescent="0.25">
      <c r="A13" s="135">
        <v>1</v>
      </c>
      <c r="B13" s="136" t="s">
        <v>69</v>
      </c>
      <c r="C13" s="137">
        <v>45532</v>
      </c>
      <c r="D13" s="138">
        <f t="shared" si="5"/>
        <v>923435</v>
      </c>
      <c r="E13" s="139">
        <f t="shared" si="0"/>
        <v>9234.35</v>
      </c>
      <c r="F13" s="138">
        <f t="shared" si="7"/>
        <v>77691.356854999991</v>
      </c>
      <c r="G13" s="140">
        <f>5000*1.25*1.25*1.28*1.4*1.72*1.65*1.1806*1.1645*1.2*1.2*1.1*1.12</f>
        <v>96907.167214083092</v>
      </c>
      <c r="H13" s="141">
        <f t="shared" si="1"/>
        <v>1107267.874069083</v>
      </c>
      <c r="I13" s="142">
        <f t="shared" si="2"/>
        <v>222371.89595742119</v>
      </c>
      <c r="J13" s="143">
        <f t="shared" si="6"/>
        <v>117357.46389</v>
      </c>
      <c r="K13" s="144">
        <f t="shared" si="3"/>
        <v>1002253.4420016619</v>
      </c>
      <c r="L13" s="145">
        <v>4</v>
      </c>
      <c r="M13" s="143">
        <f t="shared" si="4"/>
        <v>501126.72100083093</v>
      </c>
      <c r="N13" s="146">
        <f>+M13*1.0833/30*27</f>
        <v>488583.51917418011</v>
      </c>
      <c r="O13" s="147">
        <v>3</v>
      </c>
      <c r="P13" s="142">
        <v>250000</v>
      </c>
      <c r="Q13" s="153">
        <v>100000</v>
      </c>
      <c r="R13" s="142">
        <f>100000+38583.52</f>
        <v>138583.51999999999</v>
      </c>
      <c r="S13" s="148">
        <f>+N13-P13-Q13-R13</f>
        <v>-8.2581987953744829E-4</v>
      </c>
      <c r="T13" s="149">
        <f>+S13/T8</f>
        <v>7.9027339598142426E-2</v>
      </c>
      <c r="U13" s="150">
        <f>+T13*U8</f>
        <v>77170.197117586082</v>
      </c>
      <c r="V13" s="151"/>
      <c r="W13" s="152">
        <v>305000</v>
      </c>
      <c r="X13" s="152"/>
      <c r="Y13" s="152"/>
      <c r="Z13" s="152"/>
    </row>
    <row r="14" spans="1:26" ht="15" customHeight="1" x14ac:dyDescent="0.25">
      <c r="A14" s="103">
        <v>6</v>
      </c>
      <c r="B14" s="104" t="s">
        <v>70</v>
      </c>
      <c r="C14" s="105">
        <v>43973</v>
      </c>
      <c r="D14" s="106">
        <f t="shared" si="5"/>
        <v>923435</v>
      </c>
      <c r="E14" s="107">
        <f t="shared" si="0"/>
        <v>55406.1</v>
      </c>
      <c r="F14" s="106">
        <f t="shared" si="7"/>
        <v>81537.463629999998</v>
      </c>
      <c r="G14" s="108">
        <f>+G12</f>
        <v>0</v>
      </c>
      <c r="H14" s="109">
        <f t="shared" si="1"/>
        <v>1060378.56363</v>
      </c>
      <c r="I14" s="110">
        <f t="shared" si="2"/>
        <v>213228.48042179999</v>
      </c>
      <c r="J14" s="111">
        <f t="shared" si="6"/>
        <v>117357.46389</v>
      </c>
      <c r="K14" s="112">
        <f t="shared" si="3"/>
        <v>964507.54709820007</v>
      </c>
      <c r="L14" s="113">
        <v>8</v>
      </c>
      <c r="M14" s="111">
        <f t="shared" si="4"/>
        <v>964507.54709820007</v>
      </c>
      <c r="N14" s="114">
        <f>+M14*1.0833/30*29</f>
        <v>1010022.658245764</v>
      </c>
      <c r="O14" s="115">
        <v>1</v>
      </c>
      <c r="P14" s="110">
        <v>350000</v>
      </c>
      <c r="Q14" s="110">
        <v>200000</v>
      </c>
      <c r="R14" s="110">
        <f>400000+60022.66</f>
        <v>460022.66000000003</v>
      </c>
      <c r="S14" s="78">
        <f>+N14-P14-Q14-R14</f>
        <v>-1.754236058332026E-3</v>
      </c>
      <c r="T14" s="6">
        <f>+S14/T8</f>
        <v>0.16787269494500617</v>
      </c>
      <c r="U14" s="24">
        <f>+T14*U8</f>
        <v>163927.68661379852</v>
      </c>
      <c r="V14" s="116"/>
      <c r="W14">
        <v>580000</v>
      </c>
    </row>
    <row r="15" spans="1:26" ht="15" customHeight="1" x14ac:dyDescent="0.25">
      <c r="A15" s="103">
        <v>6</v>
      </c>
      <c r="B15" s="104" t="s">
        <v>71</v>
      </c>
      <c r="C15" s="105">
        <v>43846</v>
      </c>
      <c r="D15" s="106">
        <f t="shared" si="5"/>
        <v>923435</v>
      </c>
      <c r="E15" s="107">
        <f t="shared" si="0"/>
        <v>55406.1</v>
      </c>
      <c r="F15" s="106">
        <f t="shared" si="7"/>
        <v>81537.463629999998</v>
      </c>
      <c r="G15" s="108">
        <f>+G14</f>
        <v>0</v>
      </c>
      <c r="H15" s="109">
        <f t="shared" si="1"/>
        <v>1060378.56363</v>
      </c>
      <c r="I15" s="110">
        <f t="shared" si="2"/>
        <v>213228.48042179999</v>
      </c>
      <c r="J15" s="111">
        <f t="shared" si="6"/>
        <v>117357.46389</v>
      </c>
      <c r="K15" s="112">
        <f t="shared" si="3"/>
        <v>964507.54709820007</v>
      </c>
      <c r="L15" s="113">
        <v>8</v>
      </c>
      <c r="M15" s="111">
        <f t="shared" si="4"/>
        <v>964507.54709820007</v>
      </c>
      <c r="N15" s="114">
        <f>+M15*1.0833/30*30</f>
        <v>1044851.0257714799</v>
      </c>
      <c r="O15" s="115"/>
      <c r="P15" s="110">
        <v>350000</v>
      </c>
      <c r="Q15" s="110">
        <v>200000</v>
      </c>
      <c r="R15" s="110">
        <f>400000+94851.03</f>
        <v>494851.03</v>
      </c>
      <c r="S15" s="78">
        <f>+N15-P15-Q15-R15</f>
        <v>-4.2285200906917453E-3</v>
      </c>
      <c r="T15" s="6">
        <f>+S15/T8</f>
        <v>0.40465082215244869</v>
      </c>
      <c r="U15" s="24">
        <f>+T15*U8</f>
        <v>395141.52783186611</v>
      </c>
      <c r="V15" s="116"/>
      <c r="W15">
        <v>507000</v>
      </c>
    </row>
    <row r="16" spans="1:26" ht="15" customHeight="1" x14ac:dyDescent="0.25">
      <c r="A16" s="103">
        <v>6</v>
      </c>
      <c r="B16" s="104" t="s">
        <v>72</v>
      </c>
      <c r="C16" s="105">
        <v>43922</v>
      </c>
      <c r="D16" s="106">
        <f t="shared" si="5"/>
        <v>923435</v>
      </c>
      <c r="E16" s="107">
        <f t="shared" si="0"/>
        <v>55406.1</v>
      </c>
      <c r="F16" s="106">
        <f t="shared" si="7"/>
        <v>81537.463629999998</v>
      </c>
      <c r="G16" s="108">
        <f>+G15</f>
        <v>0</v>
      </c>
      <c r="H16" s="109">
        <f t="shared" si="1"/>
        <v>1060378.56363</v>
      </c>
      <c r="I16" s="110">
        <f t="shared" si="2"/>
        <v>213228.48042179999</v>
      </c>
      <c r="J16" s="111">
        <f t="shared" si="6"/>
        <v>117357.46389</v>
      </c>
      <c r="K16" s="112">
        <f t="shared" si="3"/>
        <v>964507.54709820007</v>
      </c>
      <c r="L16" s="113">
        <v>8</v>
      </c>
      <c r="M16" s="111">
        <f t="shared" si="4"/>
        <v>964507.54709820007</v>
      </c>
      <c r="N16" s="114">
        <f>+M16*1.0833</f>
        <v>1044851.0257714801</v>
      </c>
      <c r="O16" s="115"/>
      <c r="P16" s="110">
        <f>89040+1.54*1450+350000</f>
        <v>441273</v>
      </c>
      <c r="Q16" s="110">
        <v>200000</v>
      </c>
      <c r="R16" s="110">
        <f>350000+53578.03</f>
        <v>403578.03</v>
      </c>
      <c r="S16" s="78">
        <f>+(N16-P16-Q16-R16)*1</f>
        <v>-4.2285199742764235E-3</v>
      </c>
      <c r="T16" s="6">
        <f>+S16/T8</f>
        <v>0.40465081101201311</v>
      </c>
      <c r="U16" s="24">
        <f>+T16*U8*1</f>
        <v>395141.51695323078</v>
      </c>
      <c r="V16" s="154">
        <f>+M16/2*0</f>
        <v>0</v>
      </c>
      <c r="W16">
        <v>510000</v>
      </c>
    </row>
    <row r="17" spans="1:26" ht="15" customHeight="1" x14ac:dyDescent="0.25">
      <c r="A17" s="103">
        <v>4</v>
      </c>
      <c r="B17" s="104" t="s">
        <v>73</v>
      </c>
      <c r="C17" s="105">
        <v>44567</v>
      </c>
      <c r="D17" s="106">
        <f t="shared" si="5"/>
        <v>923435</v>
      </c>
      <c r="E17" s="107">
        <f t="shared" si="0"/>
        <v>36937.4</v>
      </c>
      <c r="F17" s="106">
        <f t="shared" si="7"/>
        <v>79999.020919999995</v>
      </c>
      <c r="G17" s="108">
        <f>+G16</f>
        <v>0</v>
      </c>
      <c r="H17" s="109">
        <f t="shared" si="1"/>
        <v>1040371.4209200001</v>
      </c>
      <c r="I17" s="110">
        <f t="shared" si="2"/>
        <v>209327.08759335001</v>
      </c>
      <c r="J17" s="111">
        <f t="shared" si="6"/>
        <v>117357.46389</v>
      </c>
      <c r="K17" s="112">
        <f t="shared" si="3"/>
        <v>948401.7972166501</v>
      </c>
      <c r="L17" s="113">
        <v>6</v>
      </c>
      <c r="M17" s="111">
        <f t="shared" si="4"/>
        <v>711301.34791248757</v>
      </c>
      <c r="N17" s="114">
        <f>+M17*1.0833/30*28</f>
        <v>719182.5668473579</v>
      </c>
      <c r="O17" s="115">
        <v>2</v>
      </c>
      <c r="P17" s="110">
        <f>300000+N34</f>
        <v>400000</v>
      </c>
      <c r="Q17" s="110">
        <v>100000</v>
      </c>
      <c r="R17" s="110">
        <f>200000+19182.57</f>
        <v>219182.57</v>
      </c>
      <c r="S17" s="78">
        <f>+N17-P17-Q17-R17</f>
        <v>-3.1526421080343425E-3</v>
      </c>
      <c r="T17" s="6">
        <f>+S17/T8</f>
        <v>0.30169401909116395</v>
      </c>
      <c r="U17" s="24">
        <f>+T17*U8</f>
        <v>294604.20964252157</v>
      </c>
      <c r="V17" s="116"/>
      <c r="W17">
        <v>535000</v>
      </c>
    </row>
    <row r="18" spans="1:26" ht="15" customHeight="1" x14ac:dyDescent="0.25">
      <c r="A18" s="103">
        <v>4</v>
      </c>
      <c r="B18" s="104" t="s">
        <v>91</v>
      </c>
      <c r="C18" s="105">
        <v>44567</v>
      </c>
      <c r="D18" s="106">
        <f t="shared" si="5"/>
        <v>923435</v>
      </c>
      <c r="E18" s="107">
        <f t="shared" si="0"/>
        <v>36937.4</v>
      </c>
      <c r="F18" s="106">
        <f>+(D18+E18)*8.33/100*1</f>
        <v>79999.020919999995</v>
      </c>
      <c r="G18" s="108">
        <f>+G17</f>
        <v>0</v>
      </c>
      <c r="H18" s="109">
        <f t="shared" si="1"/>
        <v>1040371.4209200001</v>
      </c>
      <c r="I18" s="110">
        <f t="shared" si="2"/>
        <v>209327.08759335001</v>
      </c>
      <c r="J18" s="111">
        <f t="shared" si="6"/>
        <v>117357.46389</v>
      </c>
      <c r="K18" s="112">
        <f t="shared" si="3"/>
        <v>948401.7972166501</v>
      </c>
      <c r="L18" s="113">
        <v>8</v>
      </c>
      <c r="M18" s="111">
        <f t="shared" si="4"/>
        <v>948401.7972166501</v>
      </c>
      <c r="N18" s="114">
        <f>+M18*1.0833/30*30</f>
        <v>1027403.6669247971</v>
      </c>
      <c r="O18" s="115">
        <v>0</v>
      </c>
      <c r="P18" s="110">
        <v>700000</v>
      </c>
      <c r="Q18" s="110">
        <v>327403.67</v>
      </c>
      <c r="R18" s="110"/>
      <c r="S18" s="78">
        <f>+N18-P18-Q18-R18</f>
        <v>-3.0752028687857091E-3</v>
      </c>
      <c r="T18" s="6">
        <f>+S18/T8</f>
        <v>0.29428342362117921</v>
      </c>
      <c r="U18" s="24">
        <f>+T18*U8</f>
        <v>287367.76316608151</v>
      </c>
      <c r="V18" s="116"/>
      <c r="W18">
        <v>560000</v>
      </c>
    </row>
    <row r="19" spans="1:26" ht="15" customHeight="1" x14ac:dyDescent="0.25">
      <c r="A19" s="103">
        <v>2</v>
      </c>
      <c r="B19" s="104" t="s">
        <v>74</v>
      </c>
      <c r="C19" s="105">
        <v>45194</v>
      </c>
      <c r="D19" s="106">
        <f>+D17</f>
        <v>923435</v>
      </c>
      <c r="E19" s="107">
        <f t="shared" si="0"/>
        <v>18468.7</v>
      </c>
      <c r="F19" s="106">
        <f>+(D19+E19)*8.33/100</f>
        <v>78460.578209999992</v>
      </c>
      <c r="G19" s="108">
        <f>+G18</f>
        <v>0</v>
      </c>
      <c r="H19" s="109">
        <f t="shared" si="1"/>
        <v>1020364.2782099999</v>
      </c>
      <c r="I19" s="110">
        <f t="shared" si="2"/>
        <v>205425.69476489996</v>
      </c>
      <c r="J19" s="111">
        <f>+J17</f>
        <v>117357.46389</v>
      </c>
      <c r="K19" s="112">
        <f t="shared" si="3"/>
        <v>932296.04733509989</v>
      </c>
      <c r="L19" s="155">
        <v>6</v>
      </c>
      <c r="M19" s="111">
        <f t="shared" si="4"/>
        <v>699222.03550132492</v>
      </c>
      <c r="N19" s="114">
        <f>+M19*1.0833/30*30</f>
        <v>757467.23105858522</v>
      </c>
      <c r="O19" s="115"/>
      <c r="P19" s="110">
        <f>89040+1.39*1450+350000</f>
        <v>441055.5</v>
      </c>
      <c r="Q19" s="110">
        <v>100000</v>
      </c>
      <c r="R19" s="110">
        <f>200000+16411.73</f>
        <v>216411.73</v>
      </c>
      <c r="S19" s="78">
        <f>+(N19-P19-Q19-R19)*1</f>
        <v>1.058585214195773E-3</v>
      </c>
      <c r="T19" s="6">
        <f>+S19/T8</f>
        <v>-0.1013019609829193</v>
      </c>
      <c r="U19" s="24">
        <f>+T19*U8</f>
        <v>-98921.364899820692</v>
      </c>
      <c r="V19" s="154">
        <f>+M19/2*0</f>
        <v>0</v>
      </c>
      <c r="W19">
        <v>465000</v>
      </c>
    </row>
    <row r="20" spans="1:26" ht="15" customHeight="1" x14ac:dyDescent="0.25">
      <c r="A20" s="103">
        <v>1</v>
      </c>
      <c r="B20" s="104" t="s">
        <v>75</v>
      </c>
      <c r="C20" s="105">
        <v>45621</v>
      </c>
      <c r="D20" s="106">
        <f t="shared" ref="D20:D26" si="8">+D19</f>
        <v>923435</v>
      </c>
      <c r="E20" s="107">
        <f t="shared" si="0"/>
        <v>9234.35</v>
      </c>
      <c r="F20" s="106">
        <f>+(D20+E20)*8.33/100</f>
        <v>77691.356854999991</v>
      </c>
      <c r="G20" s="108">
        <v>0</v>
      </c>
      <c r="H20" s="109">
        <f t="shared" si="1"/>
        <v>1010360.706855</v>
      </c>
      <c r="I20" s="110">
        <f t="shared" si="2"/>
        <v>203474.99835067498</v>
      </c>
      <c r="J20" s="111">
        <f t="shared" ref="J20:J26" si="9">+J19</f>
        <v>117357.46389</v>
      </c>
      <c r="K20" s="112">
        <f t="shared" si="3"/>
        <v>924243.17239432503</v>
      </c>
      <c r="L20" s="113">
        <v>8</v>
      </c>
      <c r="M20" s="111">
        <f t="shared" si="4"/>
        <v>924243.17239432503</v>
      </c>
      <c r="N20" s="114">
        <f>+M20*1.0833/30*29</f>
        <v>967858.20769961318</v>
      </c>
      <c r="O20" s="115">
        <v>1</v>
      </c>
      <c r="P20" s="110">
        <v>350000</v>
      </c>
      <c r="Q20" s="110">
        <v>200000</v>
      </c>
      <c r="R20" s="110">
        <f>350000+67858.21</f>
        <v>417858.21</v>
      </c>
      <c r="S20" s="78">
        <f>+N20-P20-Q20-R20</f>
        <v>-2.3003868409432471E-3</v>
      </c>
      <c r="T20" s="6">
        <f>+S20/T8</f>
        <v>0.22013692887623965</v>
      </c>
      <c r="U20" s="24">
        <f>+T20*U8</f>
        <v>214963.71104764802</v>
      </c>
      <c r="V20" s="116">
        <f>+M20/2*0</f>
        <v>0</v>
      </c>
      <c r="W20">
        <v>580000</v>
      </c>
    </row>
    <row r="21" spans="1:26" ht="15" customHeight="1" x14ac:dyDescent="0.25">
      <c r="A21" s="103">
        <v>1</v>
      </c>
      <c r="B21" s="104" t="s">
        <v>76</v>
      </c>
      <c r="C21" s="105">
        <v>45643</v>
      </c>
      <c r="D21" s="106">
        <f t="shared" si="8"/>
        <v>923435</v>
      </c>
      <c r="E21" s="107">
        <f t="shared" si="0"/>
        <v>9234.35</v>
      </c>
      <c r="F21" s="106">
        <f>+(D21+E21)*8.33/100</f>
        <v>77691.356854999991</v>
      </c>
      <c r="G21" s="108">
        <v>0</v>
      </c>
      <c r="H21" s="109">
        <f t="shared" si="1"/>
        <v>1010360.706855</v>
      </c>
      <c r="I21" s="110">
        <f t="shared" si="2"/>
        <v>203474.99835067498</v>
      </c>
      <c r="J21" s="111">
        <f t="shared" si="9"/>
        <v>117357.46389</v>
      </c>
      <c r="K21" s="156">
        <f t="shared" si="3"/>
        <v>924243.17239432503</v>
      </c>
      <c r="L21" s="113">
        <v>5</v>
      </c>
      <c r="M21" s="111">
        <f t="shared" si="4"/>
        <v>577651.98274645314</v>
      </c>
      <c r="N21" s="114">
        <f>+M21*1.0833/30*30</f>
        <v>625770.39290923264</v>
      </c>
      <c r="O21" s="115"/>
      <c r="P21" s="110">
        <v>250000</v>
      </c>
      <c r="Q21" s="110">
        <v>100000</v>
      </c>
      <c r="R21" s="110">
        <f>200000+75770.39</f>
        <v>275770.39</v>
      </c>
      <c r="S21" s="78">
        <f>+N21-P21-Q21-R21</f>
        <v>2.9092326294630766E-3</v>
      </c>
      <c r="T21" s="6">
        <f>+S21/T8</f>
        <v>-0.27840079982980087</v>
      </c>
      <c r="U21" s="24">
        <f>+T21*U8</f>
        <v>-271858.38103380054</v>
      </c>
      <c r="V21" s="116"/>
      <c r="W21">
        <v>355000</v>
      </c>
    </row>
    <row r="22" spans="1:26" ht="15" customHeight="1" x14ac:dyDescent="0.25">
      <c r="A22" s="135">
        <v>1</v>
      </c>
      <c r="B22" s="136" t="s">
        <v>77</v>
      </c>
      <c r="C22" s="137">
        <v>45707</v>
      </c>
      <c r="D22" s="138">
        <f t="shared" si="8"/>
        <v>923435</v>
      </c>
      <c r="E22" s="139">
        <f t="shared" si="0"/>
        <v>9234.35</v>
      </c>
      <c r="F22" s="138">
        <f>+(D22+E22)*8.33/100*0</f>
        <v>0</v>
      </c>
      <c r="G22" s="140">
        <f>+G21</f>
        <v>0</v>
      </c>
      <c r="H22" s="141">
        <f t="shared" si="1"/>
        <v>932669.35</v>
      </c>
      <c r="I22" s="142">
        <f t="shared" si="2"/>
        <v>188325.18376394999</v>
      </c>
      <c r="J22" s="143">
        <f t="shared" si="9"/>
        <v>117357.46389</v>
      </c>
      <c r="K22" s="157">
        <f t="shared" si="3"/>
        <v>861701.63012604997</v>
      </c>
      <c r="L22" s="145">
        <v>8</v>
      </c>
      <c r="M22" s="143">
        <f t="shared" si="4"/>
        <v>861701.63012604997</v>
      </c>
      <c r="N22" s="146">
        <f>+M22*1.0833/30*21</f>
        <v>653436.963140885</v>
      </c>
      <c r="O22" s="147">
        <v>9</v>
      </c>
      <c r="P22" s="142">
        <v>350000</v>
      </c>
      <c r="Q22" s="142">
        <v>100000</v>
      </c>
      <c r="R22" s="142">
        <f>200000+3436.96</f>
        <v>203436.96</v>
      </c>
      <c r="S22" s="148">
        <f>+N22-P22-Q22-R22</f>
        <v>3.1408850045409054E-3</v>
      </c>
      <c r="T22" s="149">
        <f>+S22/T8</f>
        <v>-0.30056891586528034</v>
      </c>
      <c r="U22" s="150">
        <f>+T22*U8</f>
        <v>-293505.54634244624</v>
      </c>
      <c r="V22" s="151"/>
      <c r="W22" s="152">
        <v>560000</v>
      </c>
      <c r="X22" s="152"/>
      <c r="Y22" s="152"/>
      <c r="Z22" s="152"/>
    </row>
    <row r="23" spans="1:26" ht="15" customHeight="1" x14ac:dyDescent="0.25">
      <c r="A23" s="103">
        <v>1</v>
      </c>
      <c r="B23" s="104" t="s">
        <v>78</v>
      </c>
      <c r="C23" s="105">
        <v>45705</v>
      </c>
      <c r="D23" s="106">
        <f t="shared" si="8"/>
        <v>923435</v>
      </c>
      <c r="E23" s="107">
        <f t="shared" si="0"/>
        <v>9234.35</v>
      </c>
      <c r="F23" s="106">
        <f>+(D23+E23)*8.33/100</f>
        <v>77691.356854999991</v>
      </c>
      <c r="G23" s="108">
        <f>+G22</f>
        <v>0</v>
      </c>
      <c r="H23" s="109">
        <f t="shared" si="1"/>
        <v>1010360.706855</v>
      </c>
      <c r="I23" s="110">
        <f t="shared" si="2"/>
        <v>203474.99835067498</v>
      </c>
      <c r="J23" s="111">
        <f t="shared" si="9"/>
        <v>117357.46389</v>
      </c>
      <c r="K23" s="156">
        <f t="shared" si="3"/>
        <v>924243.17239432503</v>
      </c>
      <c r="L23" s="113">
        <v>8</v>
      </c>
      <c r="M23" s="111">
        <f t="shared" si="4"/>
        <v>924243.17239432503</v>
      </c>
      <c r="N23" s="114">
        <f>+M23*1.0833</f>
        <v>1001232.6286547722</v>
      </c>
      <c r="O23" s="115"/>
      <c r="P23" s="110">
        <v>350000</v>
      </c>
      <c r="Q23" s="110">
        <v>200000</v>
      </c>
      <c r="R23" s="110">
        <f>400000+51232.63</f>
        <v>451232.63</v>
      </c>
      <c r="S23" s="78">
        <f>+(N23-P23-Q23-R23)*1</f>
        <v>-1.3452278217300773E-3</v>
      </c>
      <c r="T23" s="6">
        <f>+S23/T8</f>
        <v>0.12873240102221517</v>
      </c>
      <c r="U23" s="24">
        <f>+T23*U8</f>
        <v>125707.18959819312</v>
      </c>
      <c r="V23" s="154">
        <f>+M23/2*0</f>
        <v>0</v>
      </c>
      <c r="W23">
        <v>580000</v>
      </c>
    </row>
    <row r="24" spans="1:26" ht="15" customHeight="1" x14ac:dyDescent="0.25">
      <c r="A24" s="135">
        <v>1</v>
      </c>
      <c r="B24" s="136" t="s">
        <v>79</v>
      </c>
      <c r="C24" s="137">
        <v>45775</v>
      </c>
      <c r="D24" s="138">
        <f t="shared" si="8"/>
        <v>923435</v>
      </c>
      <c r="E24" s="139">
        <f t="shared" si="0"/>
        <v>9234.35</v>
      </c>
      <c r="F24" s="138">
        <f>+(D24+E24)*8.33/100*0</f>
        <v>0</v>
      </c>
      <c r="G24" s="140">
        <f>+G23</f>
        <v>0</v>
      </c>
      <c r="H24" s="141">
        <f t="shared" si="1"/>
        <v>932669.35</v>
      </c>
      <c r="I24" s="142">
        <f t="shared" si="2"/>
        <v>188325.18376394999</v>
      </c>
      <c r="J24" s="143">
        <f t="shared" si="9"/>
        <v>117357.46389</v>
      </c>
      <c r="K24" s="157">
        <f t="shared" si="3"/>
        <v>861701.63012604997</v>
      </c>
      <c r="L24" s="145">
        <v>8</v>
      </c>
      <c r="M24" s="143">
        <f t="shared" si="4"/>
        <v>861701.63012604997</v>
      </c>
      <c r="N24" s="146">
        <f>+M24*1.0833/30*27</f>
        <v>840133.23832399491</v>
      </c>
      <c r="O24" s="147">
        <v>3</v>
      </c>
      <c r="P24" s="142">
        <v>350000</v>
      </c>
      <c r="Q24" s="142">
        <v>200000</v>
      </c>
      <c r="R24" s="142">
        <f>200000+90133.24</f>
        <v>290133.24</v>
      </c>
      <c r="S24" s="148">
        <f>+N24-P24-Q24-R24</f>
        <v>-1.6760050784796476E-3</v>
      </c>
      <c r="T24" s="149">
        <f>+S24/T8</f>
        <v>0.1603863333726108</v>
      </c>
      <c r="U24" s="150">
        <f>+T24*U8</f>
        <v>156617.25453835443</v>
      </c>
      <c r="V24" s="151">
        <f>+M24/2*0</f>
        <v>0</v>
      </c>
      <c r="W24" s="152">
        <v>555000</v>
      </c>
      <c r="X24" s="152"/>
      <c r="Y24" s="152"/>
      <c r="Z24" s="152"/>
    </row>
    <row r="25" spans="1:26" ht="15" customHeight="1" x14ac:dyDescent="0.25">
      <c r="A25" s="103">
        <v>0</v>
      </c>
      <c r="B25" s="104" t="s">
        <v>80</v>
      </c>
      <c r="C25" s="105">
        <v>45943</v>
      </c>
      <c r="D25" s="106">
        <f t="shared" si="8"/>
        <v>923435</v>
      </c>
      <c r="E25" s="107">
        <f t="shared" si="0"/>
        <v>0</v>
      </c>
      <c r="F25" s="106">
        <f>+(D25+E25)*8.33/100*0</f>
        <v>0</v>
      </c>
      <c r="G25" s="108">
        <f>+G24</f>
        <v>0</v>
      </c>
      <c r="H25" s="109">
        <f t="shared" si="1"/>
        <v>923435</v>
      </c>
      <c r="I25" s="110">
        <f t="shared" si="2"/>
        <v>186524.48551395</v>
      </c>
      <c r="J25" s="111">
        <f t="shared" si="9"/>
        <v>117357.46389</v>
      </c>
      <c r="K25" s="156">
        <f t="shared" si="3"/>
        <v>854267.97837605001</v>
      </c>
      <c r="L25" s="113">
        <v>4</v>
      </c>
      <c r="M25" s="111">
        <f t="shared" si="4"/>
        <v>427133.98918802501</v>
      </c>
      <c r="N25" s="114">
        <f>+M25*1.0833/30*29</f>
        <v>447290.4421378079</v>
      </c>
      <c r="O25" s="115">
        <v>1</v>
      </c>
      <c r="P25" s="110">
        <v>250000</v>
      </c>
      <c r="Q25" s="110">
        <v>0</v>
      </c>
      <c r="R25" s="110">
        <f>100000+97290.44</f>
        <v>197290.44</v>
      </c>
      <c r="S25" s="78">
        <f>+N25-P25-Q25-R25</f>
        <v>2.137807896360755E-3</v>
      </c>
      <c r="T25" s="6">
        <f>+S25/T8</f>
        <v>-0.20457883711387542</v>
      </c>
      <c r="U25" s="24">
        <f>+T25*U8</f>
        <v>-199771.23444169934</v>
      </c>
      <c r="V25" s="116">
        <f>+M25/360*4*0</f>
        <v>0</v>
      </c>
      <c r="W25">
        <v>247000</v>
      </c>
    </row>
    <row r="26" spans="1:26" ht="15" customHeight="1" x14ac:dyDescent="0.25">
      <c r="A26" s="103">
        <v>0</v>
      </c>
      <c r="B26" s="104" t="s">
        <v>81</v>
      </c>
      <c r="C26" s="105">
        <v>45962</v>
      </c>
      <c r="D26" s="106">
        <f t="shared" si="8"/>
        <v>923435</v>
      </c>
      <c r="E26" s="107">
        <f t="shared" si="0"/>
        <v>0</v>
      </c>
      <c r="F26" s="106">
        <f>+(D26+E26)*8.33/100</f>
        <v>76922.135500000004</v>
      </c>
      <c r="G26" s="108">
        <f>+G25</f>
        <v>0</v>
      </c>
      <c r="H26" s="109">
        <f t="shared" si="1"/>
        <v>1000357.1355</v>
      </c>
      <c r="I26" s="110">
        <f t="shared" si="2"/>
        <v>201524.30193644998</v>
      </c>
      <c r="J26" s="111">
        <f t="shared" si="9"/>
        <v>117357.46389</v>
      </c>
      <c r="K26" s="156">
        <f t="shared" si="3"/>
        <v>916190.29745355004</v>
      </c>
      <c r="L26" s="113">
        <v>3</v>
      </c>
      <c r="M26" s="111">
        <f t="shared" si="4"/>
        <v>343571.36154508125</v>
      </c>
      <c r="N26" s="114">
        <f>+M26*1.0833/30*30</f>
        <v>372190.85596178647</v>
      </c>
      <c r="O26" s="115"/>
      <c r="P26" s="110">
        <v>200000</v>
      </c>
      <c r="Q26" s="110">
        <v>0</v>
      </c>
      <c r="R26" s="110">
        <f>100000+72190.86</f>
        <v>172190.86</v>
      </c>
      <c r="S26" s="78">
        <f>+N26-P26-Q26-R26</f>
        <v>-4.0382135193794966E-3</v>
      </c>
      <c r="T26" s="6">
        <f>+S26/T8</f>
        <v>0.38643931815320498</v>
      </c>
      <c r="U26" s="24">
        <f>+T26*U8</f>
        <v>377357.99417660467</v>
      </c>
      <c r="V26" s="116">
        <f>+M26/360*3*0</f>
        <v>0</v>
      </c>
      <c r="W26">
        <v>215000</v>
      </c>
    </row>
    <row r="27" spans="1:26" ht="15" customHeight="1" x14ac:dyDescent="0.25">
      <c r="A27" s="103">
        <v>3</v>
      </c>
      <c r="B27" s="104" t="s">
        <v>82</v>
      </c>
      <c r="C27" s="105">
        <v>44927</v>
      </c>
      <c r="D27" s="106">
        <f>+D18</f>
        <v>923435</v>
      </c>
      <c r="E27" s="107">
        <f t="shared" si="0"/>
        <v>27703.05</v>
      </c>
      <c r="F27" s="106">
        <f>+(D27+E27)*8.33/100*1</f>
        <v>79229.799565000008</v>
      </c>
      <c r="G27" s="108">
        <f>+G24</f>
        <v>0</v>
      </c>
      <c r="H27" s="109">
        <f t="shared" si="1"/>
        <v>1030367.849565</v>
      </c>
      <c r="I27" s="110">
        <f t="shared" si="2"/>
        <v>207376.391179125</v>
      </c>
      <c r="J27" s="111">
        <f>+J18</f>
        <v>117357.46389</v>
      </c>
      <c r="K27" s="156">
        <f t="shared" si="3"/>
        <v>940348.922275875</v>
      </c>
      <c r="L27" s="113">
        <v>4</v>
      </c>
      <c r="M27" s="111">
        <f t="shared" si="4"/>
        <v>470174.4611379375</v>
      </c>
      <c r="N27" s="114">
        <f>+M27*1.0833/30*30</f>
        <v>509339.99375072768</v>
      </c>
      <c r="O27" s="115"/>
      <c r="P27" s="110">
        <v>250000</v>
      </c>
      <c r="Q27" s="110">
        <v>100000</v>
      </c>
      <c r="R27" s="110">
        <f>100000+59339.99</f>
        <v>159339.99</v>
      </c>
      <c r="S27" s="78">
        <f>+(N27-P27-Q27-R27)*1</f>
        <v>3.7507276865653694E-3</v>
      </c>
      <c r="T27" s="6">
        <f>+S27/T8</f>
        <v>-0.35892818515386116</v>
      </c>
      <c r="U27" s="24">
        <f>+T27*U8</f>
        <v>-350493.37280274543</v>
      </c>
      <c r="V27" s="116"/>
      <c r="W27">
        <v>295000</v>
      </c>
    </row>
    <row r="28" spans="1:26" ht="24" customHeight="1" x14ac:dyDescent="0.25">
      <c r="A28" s="121">
        <v>20</v>
      </c>
      <c r="K28" s="122">
        <f>SUM(K9:K27)</f>
        <v>17849338.89068361</v>
      </c>
      <c r="M28" s="123">
        <f>SUM(M9:M27)</f>
        <v>14328072.378662923</v>
      </c>
      <c r="N28" s="124">
        <f>SUM(N9:N27)</f>
        <v>14856718.119550198</v>
      </c>
      <c r="O28" s="125"/>
      <c r="P28" s="126">
        <f t="shared" ref="P28:U28" si="10">SUM(P9:P27)</f>
        <v>6911714.3300000001</v>
      </c>
      <c r="Q28" s="126">
        <f t="shared" si="10"/>
        <v>2677403.67</v>
      </c>
      <c r="R28" s="126">
        <f t="shared" si="10"/>
        <v>5267600.1300000018</v>
      </c>
      <c r="S28" s="127">
        <f t="shared" si="10"/>
        <v>-1.0449799825437367E-2</v>
      </c>
      <c r="T28" s="128">
        <f t="shared" si="10"/>
        <v>1</v>
      </c>
      <c r="U28" s="101">
        <f t="shared" si="10"/>
        <v>976500.00000000012</v>
      </c>
      <c r="V28" s="129">
        <f>SUM(V9:V26)</f>
        <v>518491.71078258753</v>
      </c>
    </row>
    <row r="29" spans="1:26" ht="15" customHeight="1" x14ac:dyDescent="0.25">
      <c r="A29" s="1"/>
      <c r="C29" s="2" t="s">
        <v>83</v>
      </c>
      <c r="D29" s="3">
        <f>+B6</f>
        <v>46143</v>
      </c>
      <c r="E29" s="4"/>
      <c r="F29" s="5"/>
      <c r="M29" s="6"/>
      <c r="N29" s="6"/>
      <c r="O29" s="6"/>
      <c r="P29" s="6"/>
      <c r="Q29" s="24"/>
      <c r="R29" s="15"/>
      <c r="S29" s="25">
        <f>+S28/2</f>
        <v>-5.2248999127186835E-3</v>
      </c>
    </row>
    <row r="30" spans="1:26" ht="15" customHeight="1" x14ac:dyDescent="0.25">
      <c r="A30" s="1"/>
      <c r="B30" s="8"/>
      <c r="C30" s="9" t="s">
        <v>0</v>
      </c>
      <c r="D30" s="130">
        <v>127566.72</v>
      </c>
      <c r="E30" s="4" t="s">
        <v>84</v>
      </c>
      <c r="F30" s="16"/>
      <c r="G30" s="16"/>
      <c r="H30" s="16"/>
      <c r="I30" s="16"/>
      <c r="J30" s="16"/>
      <c r="K30" s="15"/>
      <c r="L30" s="16"/>
      <c r="M30" s="16"/>
      <c r="N30" s="131">
        <f>+N29-N28</f>
        <v>-14856718.119550198</v>
      </c>
      <c r="O30" s="131"/>
      <c r="P30" s="15"/>
    </row>
    <row r="31" spans="1:26" ht="15" customHeight="1" x14ac:dyDescent="0.25">
      <c r="A31" s="1"/>
      <c r="B31" s="1"/>
      <c r="C31" s="19" t="s">
        <v>3</v>
      </c>
      <c r="D31" s="132">
        <v>40000</v>
      </c>
      <c r="E31" s="4" t="s">
        <v>84</v>
      </c>
      <c r="K31" s="24"/>
    </row>
    <row r="32" spans="1:26" ht="15" customHeight="1" x14ac:dyDescent="0.25">
      <c r="A32" s="1"/>
      <c r="B32" s="1"/>
      <c r="C32" s="19" t="s">
        <v>5</v>
      </c>
      <c r="D32" s="132">
        <v>25428.01</v>
      </c>
      <c r="E32" s="4" t="s">
        <v>84</v>
      </c>
      <c r="F32" s="133"/>
      <c r="M32" s="29" t="s">
        <v>8</v>
      </c>
      <c r="N32" s="30">
        <v>65970.33</v>
      </c>
      <c r="O32" s="134"/>
      <c r="P32" s="6"/>
      <c r="Q32" s="6"/>
      <c r="R32" s="24"/>
      <c r="S32" s="25">
        <f>351857.96-215000</f>
        <v>136857.96000000002</v>
      </c>
    </row>
    <row r="33" spans="1:20" ht="15" customHeight="1" x14ac:dyDescent="0.25">
      <c r="A33" s="1"/>
      <c r="B33" s="1"/>
      <c r="C33" s="19" t="s">
        <v>10</v>
      </c>
      <c r="D33" s="132">
        <v>0</v>
      </c>
      <c r="E33" s="4" t="s">
        <v>84</v>
      </c>
    </row>
    <row r="34" spans="1:20" ht="15" customHeight="1" x14ac:dyDescent="0.25">
      <c r="A34" s="1"/>
      <c r="B34" s="1"/>
      <c r="C34" s="19" t="s">
        <v>13</v>
      </c>
      <c r="D34" s="132">
        <v>53136.32</v>
      </c>
      <c r="E34" s="4" t="s">
        <v>84</v>
      </c>
      <c r="M34" s="29" t="s">
        <v>85</v>
      </c>
      <c r="N34" s="30">
        <v>100000</v>
      </c>
      <c r="O34" s="134"/>
      <c r="P34" s="6"/>
    </row>
    <row r="35" spans="1:20" ht="15" customHeight="1" x14ac:dyDescent="0.25">
      <c r="A35" s="1"/>
      <c r="B35" s="1"/>
      <c r="C35" s="19" t="s">
        <v>16</v>
      </c>
      <c r="D35" s="132">
        <v>0</v>
      </c>
      <c r="E35" s="4" t="s">
        <v>86</v>
      </c>
      <c r="M35" s="6"/>
      <c r="P35" s="6"/>
      <c r="S35" s="7"/>
      <c r="T35">
        <v>15000</v>
      </c>
    </row>
    <row r="36" spans="1:20" ht="15" customHeight="1" x14ac:dyDescent="0.25">
      <c r="A36" s="1"/>
      <c r="B36" s="1"/>
      <c r="C36" s="19" t="s">
        <v>20</v>
      </c>
      <c r="D36" s="132">
        <v>0</v>
      </c>
      <c r="E36" s="4" t="s">
        <v>86</v>
      </c>
      <c r="M36" s="29" t="s">
        <v>87</v>
      </c>
      <c r="N36" s="30" t="s">
        <v>88</v>
      </c>
      <c r="O36" s="29"/>
      <c r="P36" s="30"/>
      <c r="S36" s="7"/>
      <c r="T36">
        <v>50000</v>
      </c>
    </row>
    <row r="37" spans="1:20" ht="15" customHeight="1" x14ac:dyDescent="0.25">
      <c r="A37" s="1"/>
      <c r="B37" s="1"/>
      <c r="C37" s="19" t="s">
        <v>24</v>
      </c>
      <c r="D37" s="132">
        <f>4551.17+14999+3149.78</f>
        <v>22699.949999999997</v>
      </c>
      <c r="E37" s="4" t="s">
        <v>84</v>
      </c>
      <c r="M37" s="6"/>
      <c r="P37" s="6"/>
      <c r="S37" s="7"/>
      <c r="T37">
        <v>50000</v>
      </c>
    </row>
    <row r="38" spans="1:20" ht="15" customHeight="1" x14ac:dyDescent="0.25">
      <c r="A38" s="1"/>
      <c r="B38" s="1"/>
      <c r="C38" s="19" t="s">
        <v>29</v>
      </c>
      <c r="D38" s="132">
        <v>50000</v>
      </c>
      <c r="E38" s="4" t="s">
        <v>86</v>
      </c>
      <c r="M38" s="6"/>
      <c r="P38" s="6"/>
      <c r="S38" s="7"/>
      <c r="T38">
        <v>87000</v>
      </c>
    </row>
    <row r="39" spans="1:20" ht="15" customHeight="1" x14ac:dyDescent="0.25">
      <c r="A39" s="1"/>
      <c r="B39" s="1"/>
      <c r="C39" s="19" t="s">
        <v>89</v>
      </c>
      <c r="D39" s="132">
        <v>0</v>
      </c>
      <c r="E39" s="4" t="s">
        <v>84</v>
      </c>
      <c r="H39">
        <f>993156*4</f>
        <v>3972624</v>
      </c>
    </row>
    <row r="40" spans="1:20" ht="15" customHeight="1" x14ac:dyDescent="0.25">
      <c r="A40" s="1"/>
      <c r="B40" s="1"/>
      <c r="C40" s="53"/>
      <c r="D40" s="54">
        <f>SUM(D30:D39)</f>
        <v>318831</v>
      </c>
      <c r="E40" s="21"/>
      <c r="H40">
        <f>31+28+31+30+31+7</f>
        <v>158</v>
      </c>
    </row>
    <row r="41" spans="1:20" ht="15" customHeight="1" x14ac:dyDescent="0.25">
      <c r="A41" s="1"/>
      <c r="B41" s="1"/>
      <c r="C41" s="59" t="s">
        <v>39</v>
      </c>
      <c r="D41" s="60">
        <f>+D40/2</f>
        <v>159415.5</v>
      </c>
      <c r="E41" s="21"/>
      <c r="H41">
        <f>993156/2</f>
        <v>496578</v>
      </c>
    </row>
    <row r="42" spans="1:20" ht="15" customHeight="1" x14ac:dyDescent="0.25">
      <c r="A42" s="1"/>
      <c r="B42" s="36"/>
      <c r="C42" s="59" t="s">
        <v>41</v>
      </c>
      <c r="D42" s="61">
        <v>0</v>
      </c>
      <c r="E42" s="4"/>
      <c r="H42">
        <f>993157+3972624+496600</f>
        <v>5462381</v>
      </c>
    </row>
    <row r="43" spans="1:20" ht="15" customHeight="1" x14ac:dyDescent="0.25">
      <c r="A43" s="1"/>
      <c r="B43" s="1"/>
      <c r="C43" s="59" t="s">
        <v>42</v>
      </c>
      <c r="D43" s="61">
        <f>308000/2</f>
        <v>154000</v>
      </c>
      <c r="E43" s="4"/>
    </row>
    <row r="44" spans="1:20" ht="15" customHeight="1" x14ac:dyDescent="0.25">
      <c r="A44" s="65"/>
      <c r="B44" s="65"/>
      <c r="C44" s="66" t="s">
        <v>44</v>
      </c>
      <c r="D44" s="67">
        <f>+D41+D43+D42</f>
        <v>313415.5</v>
      </c>
      <c r="E44" s="68"/>
      <c r="F44" s="69"/>
      <c r="G44" s="69"/>
      <c r="H44" s="69"/>
      <c r="I44" s="69"/>
      <c r="J44" s="69"/>
      <c r="K44" s="69"/>
      <c r="L44" s="69"/>
      <c r="M44" s="70"/>
      <c r="N44" s="69"/>
      <c r="O44" s="69"/>
      <c r="P44" s="70"/>
      <c r="Q44" s="69"/>
      <c r="R44" s="69"/>
      <c r="S44" s="71"/>
    </row>
    <row r="45" spans="1:20" ht="15.75" customHeight="1" x14ac:dyDescent="0.25"/>
    <row r="46" spans="1:20" ht="15.75" customHeight="1" x14ac:dyDescent="0.25"/>
    <row r="47" spans="1:20" ht="15.75" customHeight="1" x14ac:dyDescent="0.25"/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5:N5"/>
  </mergeCells>
  <pageMargins left="0.15763888888888899" right="0.15763888888888899" top="7.8472222222222193E-2" bottom="0" header="0.511811023622047" footer="0.511811023622047"/>
  <pageSetup paperSize="9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W1000"/>
  <sheetViews>
    <sheetView topLeftCell="A25" zoomScaleNormal="100" workbookViewId="0">
      <pane xSplit="2" topLeftCell="C1" activePane="topRight" state="frozen"/>
      <selection activeCell="A25" sqref="A25"/>
      <selection pane="topRight" activeCell="D43" sqref="D43"/>
    </sheetView>
  </sheetViews>
  <sheetFormatPr baseColWidth="10" defaultColWidth="14.42578125" defaultRowHeight="15" x14ac:dyDescent="0.25"/>
  <cols>
    <col min="1" max="1" width="3.140625" customWidth="1"/>
    <col min="2" max="2" width="9.5703125" customWidth="1"/>
    <col min="3" max="3" width="20" customWidth="1"/>
    <col min="5" max="5" width="14.7109375" customWidth="1"/>
    <col min="6" max="6" width="12.85546875" customWidth="1"/>
    <col min="7" max="7" width="13.140625" customWidth="1"/>
    <col min="8" max="8" width="13.42578125" customWidth="1"/>
    <col min="9" max="9" width="14" customWidth="1"/>
    <col min="10" max="10" width="14.140625" customWidth="1"/>
    <col min="11" max="11" width="15.7109375" customWidth="1"/>
    <col min="12" max="12" width="14.28515625" customWidth="1"/>
    <col min="13" max="13" width="13.7109375" customWidth="1"/>
    <col min="14" max="14" width="18.28515625" customWidth="1"/>
    <col min="15" max="15" width="7.42578125" customWidth="1"/>
    <col min="16" max="16" width="20.5703125" customWidth="1"/>
    <col min="17" max="17" width="17" customWidth="1"/>
    <col min="18" max="18" width="15.5703125" customWidth="1"/>
    <col min="19" max="19" width="28.7109375" customWidth="1"/>
    <col min="20" max="20" width="17.85546875" customWidth="1"/>
    <col min="21" max="21" width="20.5703125" customWidth="1"/>
    <col min="22" max="22" width="16" customWidth="1"/>
    <col min="23" max="26" width="11.7109375" customWidth="1"/>
  </cols>
  <sheetData>
    <row r="3" spans="1:23" ht="15" customHeight="1" x14ac:dyDescent="0.25">
      <c r="D3" s="72">
        <f>+D4/48*40</f>
        <v>908844.16666666674</v>
      </c>
      <c r="E3" s="73">
        <f>+D3*A8*0.01*0</f>
        <v>0</v>
      </c>
      <c r="F3" s="72">
        <f>+(D3+E3)*8.33/100</f>
        <v>75706.719083333344</v>
      </c>
      <c r="G3" s="74"/>
      <c r="H3" s="72">
        <f>+D3+E3+F3+G3</f>
        <v>984550.88575000013</v>
      </c>
      <c r="I3" s="75">
        <f>+H3*0.195+J3*0.055</f>
        <v>198442.08323520003</v>
      </c>
      <c r="J3" s="76">
        <f>J4*1.0833/48*40</f>
        <v>117357.46389</v>
      </c>
      <c r="K3" s="77">
        <f>+H3-I3+J3</f>
        <v>903466.26640480012</v>
      </c>
    </row>
    <row r="4" spans="1:23" ht="15" customHeight="1" x14ac:dyDescent="0.25">
      <c r="C4" s="79" t="s">
        <v>46</v>
      </c>
      <c r="D4" s="72">
        <f>+C7</f>
        <v>1090613</v>
      </c>
      <c r="E4" s="73">
        <v>0</v>
      </c>
      <c r="F4" s="72">
        <f>+(D4+E4)*8.33/100</f>
        <v>90848.062900000004</v>
      </c>
      <c r="G4" s="80">
        <v>0</v>
      </c>
      <c r="H4" s="72">
        <f>+D4+E4+F4+G4</f>
        <v>1181461.0629</v>
      </c>
      <c r="I4" s="75">
        <f>+H4*0.195+J4*0.055</f>
        <v>237534.90506550003</v>
      </c>
      <c r="J4" s="76">
        <f>(100000+20000)*1.083333</f>
        <v>129999.96</v>
      </c>
      <c r="K4" s="77">
        <f>+H4-I4+J4</f>
        <v>1073926.1178345</v>
      </c>
    </row>
    <row r="5" spans="1:23" ht="15" customHeight="1" x14ac:dyDescent="0.25">
      <c r="B5" s="182" t="s">
        <v>92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81"/>
    </row>
    <row r="6" spans="1:23" ht="15" customHeight="1" x14ac:dyDescent="0.25">
      <c r="A6" s="8"/>
      <c r="B6" s="82">
        <v>46113</v>
      </c>
      <c r="C6" s="158">
        <f>+C7</f>
        <v>1090613</v>
      </c>
      <c r="D6" s="84"/>
      <c r="E6" s="15"/>
      <c r="F6" s="85"/>
      <c r="G6" s="15"/>
      <c r="H6" s="16"/>
      <c r="I6" s="86"/>
      <c r="J6" s="86"/>
      <c r="K6" s="87"/>
      <c r="L6" s="16"/>
      <c r="M6" s="16"/>
      <c r="N6" s="16"/>
      <c r="O6" s="16"/>
      <c r="P6" s="16"/>
      <c r="Q6" s="88"/>
      <c r="R6" s="4"/>
      <c r="S6" s="4"/>
    </row>
    <row r="7" spans="1:23" ht="15" customHeight="1" x14ac:dyDescent="0.25">
      <c r="A7" s="1"/>
      <c r="B7" s="89" t="s">
        <v>48</v>
      </c>
      <c r="C7" s="90">
        <v>1090613</v>
      </c>
      <c r="J7" s="91"/>
      <c r="K7" s="24"/>
    </row>
    <row r="8" spans="1:23" ht="15" customHeight="1" x14ac:dyDescent="0.25">
      <c r="A8" s="92"/>
      <c r="B8" s="93"/>
      <c r="C8" s="94" t="s">
        <v>49</v>
      </c>
      <c r="D8" s="94" t="s">
        <v>50</v>
      </c>
      <c r="E8" s="94" t="s">
        <v>51</v>
      </c>
      <c r="F8" s="94" t="s">
        <v>52</v>
      </c>
      <c r="G8" s="95" t="s">
        <v>53</v>
      </c>
      <c r="H8" s="96" t="s">
        <v>54</v>
      </c>
      <c r="I8" s="94" t="s">
        <v>55</v>
      </c>
      <c r="J8" s="94" t="s">
        <v>56</v>
      </c>
      <c r="K8" s="94" t="s">
        <v>57</v>
      </c>
      <c r="L8" s="94" t="s">
        <v>58</v>
      </c>
      <c r="M8" s="94" t="s">
        <v>59</v>
      </c>
      <c r="N8" s="97" t="s">
        <v>60</v>
      </c>
      <c r="O8" s="97" t="s">
        <v>61</v>
      </c>
      <c r="P8" s="98" t="s">
        <v>62</v>
      </c>
      <c r="Q8" s="98" t="s">
        <v>62</v>
      </c>
      <c r="R8" s="98" t="s">
        <v>62</v>
      </c>
      <c r="S8" s="99" t="s">
        <v>63</v>
      </c>
      <c r="T8" s="100">
        <f>+S28</f>
        <v>-1.4435472758774506E-2</v>
      </c>
      <c r="U8" s="101">
        <f>220000+340000+200000+1587500+2100000+3000000</f>
        <v>7447500</v>
      </c>
      <c r="V8" s="102" t="s">
        <v>64</v>
      </c>
    </row>
    <row r="9" spans="1:23" ht="15" customHeight="1" x14ac:dyDescent="0.25">
      <c r="A9" s="103">
        <v>14</v>
      </c>
      <c r="B9" s="104" t="s">
        <v>65</v>
      </c>
      <c r="C9" s="105">
        <v>40664</v>
      </c>
      <c r="D9" s="106">
        <f>+C7/48*40</f>
        <v>908844.16666666674</v>
      </c>
      <c r="E9" s="107">
        <f t="shared" ref="E9:E27" si="0">+D9*A9*0.01</f>
        <v>127238.18333333335</v>
      </c>
      <c r="F9" s="106">
        <f>+(D9+E9)*8.33/100</f>
        <v>86305.659755000001</v>
      </c>
      <c r="G9" s="108">
        <f>+G4</f>
        <v>0</v>
      </c>
      <c r="H9" s="109">
        <f t="shared" ref="H9:H27" si="1">+D9+E9+F9+G9</f>
        <v>1122388.009755</v>
      </c>
      <c r="I9" s="110">
        <f t="shared" ref="I9:I27" si="2">+H9*0.195+J9*0.055</f>
        <v>225320.32241617498</v>
      </c>
      <c r="J9" s="111">
        <f>+J4/48*40*1.0833</f>
        <v>117357.46389</v>
      </c>
      <c r="K9" s="112">
        <f t="shared" ref="K9:K27" si="3">+H9-I9+J9</f>
        <v>1014425.1512288251</v>
      </c>
      <c r="L9" s="113">
        <v>8</v>
      </c>
      <c r="M9" s="111">
        <f t="shared" ref="M9:M27" si="4">+K9/8*L9</f>
        <v>1014425.1512288251</v>
      </c>
      <c r="N9" s="114">
        <f>+M9*1.0833</f>
        <v>1098926.7663261862</v>
      </c>
      <c r="O9" s="115"/>
      <c r="P9" s="110">
        <f>515000+D44</f>
        <v>929820.51</v>
      </c>
      <c r="Q9" s="110">
        <v>169110</v>
      </c>
      <c r="R9" s="110">
        <v>-3.74</v>
      </c>
      <c r="S9" s="78">
        <f>+N9-P9-Q9-R9</f>
        <v>-3.6738137621430411E-3</v>
      </c>
      <c r="T9" s="6">
        <f>+S9/T8</f>
        <v>0.25449902635921207</v>
      </c>
      <c r="U9" s="24">
        <f>+T9*U8</f>
        <v>1895381.4988102319</v>
      </c>
      <c r="V9" s="116">
        <f>+M9/2</f>
        <v>507212.57561441255</v>
      </c>
      <c r="W9">
        <v>465000</v>
      </c>
    </row>
    <row r="10" spans="1:23" ht="15" customHeight="1" x14ac:dyDescent="0.25">
      <c r="A10" s="103">
        <v>12</v>
      </c>
      <c r="B10" s="104" t="s">
        <v>66</v>
      </c>
      <c r="C10" s="105">
        <v>41529</v>
      </c>
      <c r="D10" s="106">
        <f t="shared" ref="D10:D18" si="5">+D9</f>
        <v>908844.16666666674</v>
      </c>
      <c r="E10" s="107">
        <f t="shared" si="0"/>
        <v>109061.3</v>
      </c>
      <c r="F10" s="106">
        <f>+(D10+E10)*8.33/100*1</f>
        <v>84791.525373333337</v>
      </c>
      <c r="G10" s="108">
        <f>+G9</f>
        <v>0</v>
      </c>
      <c r="H10" s="109">
        <f t="shared" si="1"/>
        <v>1102696.9920400002</v>
      </c>
      <c r="I10" s="110">
        <f t="shared" si="2"/>
        <v>221480.57396175002</v>
      </c>
      <c r="J10" s="111">
        <f t="shared" ref="J10:J18" si="6">+J9</f>
        <v>117357.46389</v>
      </c>
      <c r="K10" s="112">
        <f t="shared" si="3"/>
        <v>998573.88196825015</v>
      </c>
      <c r="L10" s="113">
        <v>8</v>
      </c>
      <c r="M10" s="111">
        <f t="shared" si="4"/>
        <v>998573.88196825015</v>
      </c>
      <c r="N10" s="114">
        <f>+M10*1.0833/30*30</f>
        <v>1081755.0863362052</v>
      </c>
      <c r="O10" s="159">
        <v>3</v>
      </c>
      <c r="P10" s="110">
        <v>505000</v>
      </c>
      <c r="Q10" s="110">
        <v>576755.09</v>
      </c>
      <c r="R10" s="110"/>
      <c r="S10" s="78">
        <f>+N10-P10-Q10-R10</f>
        <v>-3.6637947196140885E-3</v>
      </c>
      <c r="T10" s="6">
        <f>+S10/T8</f>
        <v>0.25380496924751395</v>
      </c>
      <c r="U10" s="24">
        <f>+T10*U8</f>
        <v>1890212.5084708601</v>
      </c>
      <c r="V10" s="154">
        <f>+M10/2*0</f>
        <v>0</v>
      </c>
      <c r="W10">
        <v>575000</v>
      </c>
    </row>
    <row r="11" spans="1:23" ht="15" customHeight="1" x14ac:dyDescent="0.25">
      <c r="A11" s="103">
        <v>3</v>
      </c>
      <c r="B11" s="104" t="s">
        <v>67</v>
      </c>
      <c r="C11" s="105">
        <v>45017</v>
      </c>
      <c r="D11" s="106">
        <f t="shared" si="5"/>
        <v>908844.16666666674</v>
      </c>
      <c r="E11" s="107">
        <f t="shared" si="0"/>
        <v>27265.325000000001</v>
      </c>
      <c r="F11" s="106">
        <f t="shared" ref="F11:F17" si="7">+(D11+E11)*8.33/100</f>
        <v>77977.920655833339</v>
      </c>
      <c r="G11" s="108">
        <f>+G10</f>
        <v>0</v>
      </c>
      <c r="H11" s="109">
        <f t="shared" si="1"/>
        <v>1014087.4123225</v>
      </c>
      <c r="I11" s="110">
        <f t="shared" si="2"/>
        <v>204201.7059168375</v>
      </c>
      <c r="J11" s="111">
        <f t="shared" si="6"/>
        <v>117357.46389</v>
      </c>
      <c r="K11" s="112">
        <f t="shared" si="3"/>
        <v>927243.17029566248</v>
      </c>
      <c r="L11" s="155">
        <v>6</v>
      </c>
      <c r="M11" s="111">
        <f t="shared" si="4"/>
        <v>695432.37772174692</v>
      </c>
      <c r="N11" s="114">
        <f>+M11*1.0833</f>
        <v>753361.89478596835</v>
      </c>
      <c r="O11" s="115"/>
      <c r="P11" s="110">
        <v>470200</v>
      </c>
      <c r="Q11" s="110">
        <v>283160</v>
      </c>
      <c r="R11" s="110">
        <v>1.89</v>
      </c>
      <c r="S11" s="78">
        <f>+N11-P11-Q11-R11</f>
        <v>4.7859683539719367E-3</v>
      </c>
      <c r="T11" s="6">
        <f>+S11/T8</f>
        <v>-0.33154219705501625</v>
      </c>
      <c r="U11" s="24">
        <f>+T11*U8</f>
        <v>-2469160.5125672338</v>
      </c>
      <c r="V11" s="116"/>
      <c r="W11">
        <v>585000</v>
      </c>
    </row>
    <row r="12" spans="1:23" ht="15" customHeight="1" x14ac:dyDescent="0.25">
      <c r="A12" s="103">
        <v>10</v>
      </c>
      <c r="B12" s="104" t="s">
        <v>68</v>
      </c>
      <c r="C12" s="105">
        <v>42269</v>
      </c>
      <c r="D12" s="106">
        <f t="shared" si="5"/>
        <v>908844.16666666674</v>
      </c>
      <c r="E12" s="107">
        <f t="shared" si="0"/>
        <v>90884.416666666686</v>
      </c>
      <c r="F12" s="106">
        <f t="shared" si="7"/>
        <v>83277.390991666674</v>
      </c>
      <c r="G12" s="108">
        <f>+G11</f>
        <v>0</v>
      </c>
      <c r="H12" s="109">
        <f t="shared" si="1"/>
        <v>1083005.9743250001</v>
      </c>
      <c r="I12" s="110">
        <f t="shared" si="2"/>
        <v>217640.825507325</v>
      </c>
      <c r="J12" s="111">
        <f t="shared" si="6"/>
        <v>117357.46389</v>
      </c>
      <c r="K12" s="112">
        <f t="shared" si="3"/>
        <v>982722.61270767509</v>
      </c>
      <c r="L12" s="113">
        <v>4</v>
      </c>
      <c r="M12" s="111">
        <f t="shared" si="4"/>
        <v>491361.30635383754</v>
      </c>
      <c r="N12" s="114">
        <f>+M12*1.0833</f>
        <v>532291.70317311212</v>
      </c>
      <c r="O12" s="115"/>
      <c r="P12" s="110">
        <f>+N32+210000</f>
        <v>275970.33</v>
      </c>
      <c r="Q12" s="110">
        <v>256300</v>
      </c>
      <c r="R12" s="110">
        <v>21.37</v>
      </c>
      <c r="S12" s="78">
        <f>+(N12-P12-Q12-R12)*1</f>
        <v>3.1731121079054958E-3</v>
      </c>
      <c r="T12" s="6">
        <f>+S12/T8</f>
        <v>-0.21981352193517464</v>
      </c>
      <c r="U12" s="24">
        <f>+T12*U8*1</f>
        <v>-1637061.2046122132</v>
      </c>
      <c r="V12" s="116"/>
      <c r="W12">
        <v>275000</v>
      </c>
    </row>
    <row r="13" spans="1:23" ht="15" customHeight="1" x14ac:dyDescent="0.25">
      <c r="A13" s="103">
        <v>1</v>
      </c>
      <c r="B13" s="104" t="s">
        <v>69</v>
      </c>
      <c r="C13" s="105">
        <v>45532</v>
      </c>
      <c r="D13" s="106">
        <f t="shared" si="5"/>
        <v>908844.16666666674</v>
      </c>
      <c r="E13" s="107">
        <f t="shared" si="0"/>
        <v>9088.4416666666675</v>
      </c>
      <c r="F13" s="106">
        <f t="shared" si="7"/>
        <v>76463.786274166676</v>
      </c>
      <c r="G13" s="108">
        <f>5000*1.25*1.25*1.28*1.4*1.72*1.65*1.1806*1.1645*1.2*1.2*1.1</f>
        <v>86524.256441145611</v>
      </c>
      <c r="H13" s="109">
        <f t="shared" si="1"/>
        <v>1080920.6510486456</v>
      </c>
      <c r="I13" s="110">
        <f t="shared" si="2"/>
        <v>217234.18746843588</v>
      </c>
      <c r="J13" s="111">
        <f t="shared" si="6"/>
        <v>117357.46389</v>
      </c>
      <c r="K13" s="112">
        <f t="shared" si="3"/>
        <v>981043.92747020978</v>
      </c>
      <c r="L13" s="113">
        <v>4</v>
      </c>
      <c r="M13" s="111">
        <f t="shared" si="4"/>
        <v>490521.96373510489</v>
      </c>
      <c r="N13" s="114">
        <f>+M13*1.0833/30*29</f>
        <v>513669.69520376436</v>
      </c>
      <c r="O13" s="160">
        <v>1</v>
      </c>
      <c r="P13" s="110">
        <v>240000</v>
      </c>
      <c r="Q13" s="161">
        <v>273700</v>
      </c>
      <c r="R13" s="110">
        <v>-30.3</v>
      </c>
      <c r="S13" s="78">
        <f>+N13-P13-Q13-R13</f>
        <v>-4.796235635875945E-3</v>
      </c>
      <c r="T13" s="6">
        <f>+S13/T8</f>
        <v>0.33225345065062623</v>
      </c>
      <c r="U13" s="24">
        <f>+T13*U8</f>
        <v>2474457.573720539</v>
      </c>
      <c r="V13" s="116"/>
      <c r="W13">
        <v>305000</v>
      </c>
    </row>
    <row r="14" spans="1:23" ht="15" customHeight="1" x14ac:dyDescent="0.25">
      <c r="A14" s="103">
        <v>5</v>
      </c>
      <c r="B14" s="104" t="s">
        <v>70</v>
      </c>
      <c r="C14" s="105">
        <v>43973</v>
      </c>
      <c r="D14" s="106">
        <f t="shared" si="5"/>
        <v>908844.16666666674</v>
      </c>
      <c r="E14" s="107">
        <f t="shared" si="0"/>
        <v>45442.208333333343</v>
      </c>
      <c r="F14" s="106">
        <f t="shared" si="7"/>
        <v>79492.055037500017</v>
      </c>
      <c r="G14" s="108">
        <f>+G12</f>
        <v>0</v>
      </c>
      <c r="H14" s="109">
        <f t="shared" si="1"/>
        <v>1033778.4300375001</v>
      </c>
      <c r="I14" s="110">
        <f t="shared" si="2"/>
        <v>208041.45437126252</v>
      </c>
      <c r="J14" s="111">
        <f t="shared" si="6"/>
        <v>117357.46389</v>
      </c>
      <c r="K14" s="112">
        <f t="shared" si="3"/>
        <v>943094.43955623754</v>
      </c>
      <c r="L14" s="113">
        <v>8</v>
      </c>
      <c r="M14" s="111">
        <f t="shared" si="4"/>
        <v>943094.43955623754</v>
      </c>
      <c r="N14" s="114">
        <f>+M14*1.0833/30*30</f>
        <v>1021654.2063712721</v>
      </c>
      <c r="O14" s="159">
        <v>4</v>
      </c>
      <c r="P14" s="110">
        <v>460000</v>
      </c>
      <c r="Q14" s="110">
        <v>561600</v>
      </c>
      <c r="R14" s="110">
        <v>54.21</v>
      </c>
      <c r="S14" s="78">
        <f>+N14-P14-Q14-R14</f>
        <v>-3.6287279007964912E-3</v>
      </c>
      <c r="T14" s="6">
        <f>+S14/T8</f>
        <v>0.25137575758236202</v>
      </c>
      <c r="U14" s="24">
        <f>+T14*U8</f>
        <v>1872120.9545946412</v>
      </c>
      <c r="V14" s="116"/>
      <c r="W14">
        <v>580000</v>
      </c>
    </row>
    <row r="15" spans="1:23" ht="15" customHeight="1" x14ac:dyDescent="0.25">
      <c r="A15" s="103">
        <v>6</v>
      </c>
      <c r="B15" s="104" t="s">
        <v>71</v>
      </c>
      <c r="C15" s="105">
        <v>43846</v>
      </c>
      <c r="D15" s="106">
        <f t="shared" si="5"/>
        <v>908844.16666666674</v>
      </c>
      <c r="E15" s="107">
        <f t="shared" si="0"/>
        <v>54530.65</v>
      </c>
      <c r="F15" s="106">
        <f t="shared" si="7"/>
        <v>80249.122228333348</v>
      </c>
      <c r="G15" s="108">
        <f>+G14</f>
        <v>0</v>
      </c>
      <c r="H15" s="109">
        <f t="shared" si="1"/>
        <v>1043623.9388950001</v>
      </c>
      <c r="I15" s="110">
        <f t="shared" si="2"/>
        <v>209961.32859847503</v>
      </c>
      <c r="J15" s="111">
        <f t="shared" si="6"/>
        <v>117357.46389</v>
      </c>
      <c r="K15" s="112">
        <f t="shared" si="3"/>
        <v>951020.07418652507</v>
      </c>
      <c r="L15" s="113">
        <v>8</v>
      </c>
      <c r="M15" s="111">
        <f t="shared" si="4"/>
        <v>951020.07418652507</v>
      </c>
      <c r="N15" s="114">
        <f>+M15*1.0833/30*30</f>
        <v>1030240.0463662627</v>
      </c>
      <c r="O15" s="115"/>
      <c r="P15" s="110">
        <v>435000</v>
      </c>
      <c r="Q15" s="110">
        <v>595200</v>
      </c>
      <c r="R15" s="110">
        <v>40.049999999999997</v>
      </c>
      <c r="S15" s="78">
        <f>+N15-P15-Q15-R15</f>
        <v>-3.6337372846872995E-3</v>
      </c>
      <c r="T15" s="6">
        <f>+S15/T8</f>
        <v>0.25172277662181564</v>
      </c>
      <c r="U15" s="24">
        <f>+T15*U8</f>
        <v>1874705.3788909719</v>
      </c>
      <c r="V15" s="116"/>
      <c r="W15">
        <v>507000</v>
      </c>
    </row>
    <row r="16" spans="1:23" ht="15" customHeight="1" x14ac:dyDescent="0.25">
      <c r="A16" s="103">
        <v>6</v>
      </c>
      <c r="B16" s="104" t="s">
        <v>72</v>
      </c>
      <c r="C16" s="105">
        <v>43922</v>
      </c>
      <c r="D16" s="106">
        <f t="shared" si="5"/>
        <v>908844.16666666674</v>
      </c>
      <c r="E16" s="107">
        <f t="shared" si="0"/>
        <v>54530.65</v>
      </c>
      <c r="F16" s="106">
        <f t="shared" si="7"/>
        <v>80249.122228333348</v>
      </c>
      <c r="G16" s="108">
        <f>+G15</f>
        <v>0</v>
      </c>
      <c r="H16" s="109">
        <f t="shared" si="1"/>
        <v>1043623.9388950001</v>
      </c>
      <c r="I16" s="110">
        <f t="shared" si="2"/>
        <v>209961.32859847503</v>
      </c>
      <c r="J16" s="111">
        <f t="shared" si="6"/>
        <v>117357.46389</v>
      </c>
      <c r="K16" s="112">
        <f t="shared" si="3"/>
        <v>951020.07418652507</v>
      </c>
      <c r="L16" s="113">
        <v>8</v>
      </c>
      <c r="M16" s="111">
        <f t="shared" si="4"/>
        <v>951020.07418652507</v>
      </c>
      <c r="N16" s="114">
        <f>+M16*1.0833</f>
        <v>1030240.0463662626</v>
      </c>
      <c r="O16" s="159">
        <v>1</v>
      </c>
      <c r="P16" s="110">
        <f>150000+412100</f>
        <v>562100</v>
      </c>
      <c r="Q16" s="110">
        <v>468140</v>
      </c>
      <c r="R16" s="110">
        <v>0.05</v>
      </c>
      <c r="S16" s="78">
        <f>+(N16-P16-Q16-R16)*1</f>
        <v>-3.6337374011054663E-3</v>
      </c>
      <c r="T16" s="6">
        <f>+S16/T8</f>
        <v>0.25172278468654402</v>
      </c>
      <c r="U16" s="24">
        <f>+T16*U8*1</f>
        <v>1874705.4389530367</v>
      </c>
      <c r="V16" s="154">
        <f>+M16/2*0</f>
        <v>0</v>
      </c>
      <c r="W16">
        <v>510000</v>
      </c>
    </row>
    <row r="17" spans="1:23" ht="15" customHeight="1" x14ac:dyDescent="0.25">
      <c r="A17" s="103">
        <v>4</v>
      </c>
      <c r="B17" s="104" t="s">
        <v>73</v>
      </c>
      <c r="C17" s="105">
        <v>44567</v>
      </c>
      <c r="D17" s="106">
        <f t="shared" si="5"/>
        <v>908844.16666666674</v>
      </c>
      <c r="E17" s="107">
        <f t="shared" si="0"/>
        <v>36353.76666666667</v>
      </c>
      <c r="F17" s="106">
        <f t="shared" si="7"/>
        <v>78734.987846666671</v>
      </c>
      <c r="G17" s="108">
        <f>+G16</f>
        <v>0</v>
      </c>
      <c r="H17" s="109">
        <f t="shared" si="1"/>
        <v>1023932.9211800002</v>
      </c>
      <c r="I17" s="110">
        <f t="shared" si="2"/>
        <v>206121.58014405004</v>
      </c>
      <c r="J17" s="111">
        <f t="shared" si="6"/>
        <v>117357.46389</v>
      </c>
      <c r="K17" s="112">
        <f t="shared" si="3"/>
        <v>935168.80492595013</v>
      </c>
      <c r="L17" s="113">
        <v>8</v>
      </c>
      <c r="M17" s="111">
        <f t="shared" si="4"/>
        <v>935168.80492595013</v>
      </c>
      <c r="N17" s="114">
        <f>+M17*1.0833</f>
        <v>1013068.3663762817</v>
      </c>
      <c r="O17" s="115"/>
      <c r="P17" s="110">
        <f>100000+427500</f>
        <v>527500</v>
      </c>
      <c r="Q17" s="110">
        <v>485570</v>
      </c>
      <c r="R17" s="110">
        <v>-1.63</v>
      </c>
      <c r="S17" s="78">
        <f>+N17-P17-Q17-R17</f>
        <v>-3.6237182840705984E-3</v>
      </c>
      <c r="T17" s="6">
        <f>+S17/T8</f>
        <v>0.25102872241353824</v>
      </c>
      <c r="U17" s="24">
        <f>+T17*U8</f>
        <v>1869536.4101748262</v>
      </c>
      <c r="V17" s="116"/>
      <c r="W17">
        <v>535000</v>
      </c>
    </row>
    <row r="18" spans="1:23" ht="15" customHeight="1" x14ac:dyDescent="0.25">
      <c r="A18" s="103">
        <v>4</v>
      </c>
      <c r="B18" s="104" t="s">
        <v>91</v>
      </c>
      <c r="C18" s="105">
        <v>44567</v>
      </c>
      <c r="D18" s="106">
        <f t="shared" si="5"/>
        <v>908844.16666666674</v>
      </c>
      <c r="E18" s="107">
        <f t="shared" si="0"/>
        <v>36353.76666666667</v>
      </c>
      <c r="F18" s="106">
        <f>+(D18+E18)*8.33/100*1</f>
        <v>78734.987846666671</v>
      </c>
      <c r="G18" s="108">
        <f>+G17</f>
        <v>0</v>
      </c>
      <c r="H18" s="109">
        <f t="shared" si="1"/>
        <v>1023932.9211800002</v>
      </c>
      <c r="I18" s="110">
        <f t="shared" si="2"/>
        <v>206121.58014405004</v>
      </c>
      <c r="J18" s="111">
        <f t="shared" si="6"/>
        <v>117357.46389</v>
      </c>
      <c r="K18" s="112">
        <f t="shared" si="3"/>
        <v>935168.80492595013</v>
      </c>
      <c r="L18" s="113">
        <v>8</v>
      </c>
      <c r="M18" s="111">
        <f t="shared" si="4"/>
        <v>935168.80492595013</v>
      </c>
      <c r="N18" s="114">
        <f>+M18*1.0833/30*29</f>
        <v>979299.42083040567</v>
      </c>
      <c r="O18" s="160">
        <v>1</v>
      </c>
      <c r="P18" s="110">
        <f>100000+320000</f>
        <v>420000</v>
      </c>
      <c r="Q18" s="110">
        <v>100000</v>
      </c>
      <c r="R18" s="110">
        <f>459300-0.58</f>
        <v>459299.42</v>
      </c>
      <c r="S18" s="78">
        <f>+N18-P18-Q18-R18</f>
        <v>8.3040568279102445E-4</v>
      </c>
      <c r="T18" s="6">
        <f>+S18/T8</f>
        <v>-5.7525354151374629E-2</v>
      </c>
      <c r="U18" s="24">
        <f>+T18*U8</f>
        <v>-428420.07504236256</v>
      </c>
      <c r="V18" s="116"/>
      <c r="W18">
        <v>560000</v>
      </c>
    </row>
    <row r="19" spans="1:23" ht="15" customHeight="1" x14ac:dyDescent="0.25">
      <c r="A19" s="103">
        <v>2</v>
      </c>
      <c r="B19" s="104" t="s">
        <v>74</v>
      </c>
      <c r="C19" s="105">
        <v>45194</v>
      </c>
      <c r="D19" s="106">
        <f>+D17</f>
        <v>908844.16666666674</v>
      </c>
      <c r="E19" s="107">
        <f t="shared" si="0"/>
        <v>18176.883333333335</v>
      </c>
      <c r="F19" s="106">
        <f>+(D19+E19)*8.33/100</f>
        <v>77220.853465000007</v>
      </c>
      <c r="G19" s="108">
        <f>+G18</f>
        <v>0</v>
      </c>
      <c r="H19" s="109">
        <f t="shared" si="1"/>
        <v>1004241.9034650001</v>
      </c>
      <c r="I19" s="110">
        <f t="shared" si="2"/>
        <v>202281.83168962502</v>
      </c>
      <c r="J19" s="111">
        <f>+J17</f>
        <v>117357.46389</v>
      </c>
      <c r="K19" s="112">
        <f t="shared" si="3"/>
        <v>919317.53566537506</v>
      </c>
      <c r="L19" s="113">
        <v>6</v>
      </c>
      <c r="M19" s="111">
        <f t="shared" si="4"/>
        <v>689488.15174903127</v>
      </c>
      <c r="N19" s="114">
        <f>+M19*1.0833/30*29</f>
        <v>722025.09763006796</v>
      </c>
      <c r="O19" s="160">
        <v>1</v>
      </c>
      <c r="P19" s="110">
        <f>100000+345300</f>
        <v>445300</v>
      </c>
      <c r="Q19" s="110">
        <v>276750</v>
      </c>
      <c r="R19" s="110">
        <v>-24.9</v>
      </c>
      <c r="S19" s="78">
        <f>+(N19-P19-Q19-R19)*1</f>
        <v>-2.3699320387109424E-3</v>
      </c>
      <c r="T19" s="6">
        <f>+S19/T8</f>
        <v>0.16417418939538334</v>
      </c>
      <c r="U19" s="24">
        <f>+T19*U8</f>
        <v>1222687.2755221175</v>
      </c>
      <c r="V19" s="154">
        <f>+M19/2*0</f>
        <v>0</v>
      </c>
      <c r="W19">
        <v>465000</v>
      </c>
    </row>
    <row r="20" spans="1:23" ht="15" customHeight="1" x14ac:dyDescent="0.25">
      <c r="A20" s="103">
        <v>1</v>
      </c>
      <c r="B20" s="104" t="s">
        <v>75</v>
      </c>
      <c r="C20" s="105">
        <v>45621</v>
      </c>
      <c r="D20" s="106">
        <f t="shared" ref="D20:D26" si="8">+D19</f>
        <v>908844.16666666674</v>
      </c>
      <c r="E20" s="107">
        <f t="shared" si="0"/>
        <v>9088.4416666666675</v>
      </c>
      <c r="F20" s="106">
        <f>+(D20+E20)*8.33/100</f>
        <v>76463.786274166676</v>
      </c>
      <c r="G20" s="108">
        <v>0</v>
      </c>
      <c r="H20" s="109">
        <f t="shared" si="1"/>
        <v>994396.39460750006</v>
      </c>
      <c r="I20" s="110">
        <f t="shared" si="2"/>
        <v>200361.95746241251</v>
      </c>
      <c r="J20" s="111">
        <f t="shared" ref="J20:J26" si="9">+J19</f>
        <v>117357.46389</v>
      </c>
      <c r="K20" s="112">
        <f t="shared" si="3"/>
        <v>911391.90103508753</v>
      </c>
      <c r="L20" s="113">
        <v>8</v>
      </c>
      <c r="M20" s="111">
        <f t="shared" si="4"/>
        <v>911391.90103508753</v>
      </c>
      <c r="N20" s="114">
        <f>+M20*1.0833/30*29</f>
        <v>954400.48484493315</v>
      </c>
      <c r="O20" s="160">
        <v>1</v>
      </c>
      <c r="P20" s="110">
        <v>460000</v>
      </c>
      <c r="Q20" s="110">
        <v>449400</v>
      </c>
      <c r="R20" s="110">
        <v>45000.480000000003</v>
      </c>
      <c r="S20" s="78">
        <f>+N20-P20-Q20-R20</f>
        <v>4.8449331443407573E-3</v>
      </c>
      <c r="T20" s="6">
        <f>+S20/T8</f>
        <v>-0.33562691193440802</v>
      </c>
      <c r="U20" s="24">
        <f>+T20*U8</f>
        <v>-2499581.4266315037</v>
      </c>
      <c r="V20" s="116">
        <f>+M20/2*0</f>
        <v>0</v>
      </c>
      <c r="W20">
        <v>580000</v>
      </c>
    </row>
    <row r="21" spans="1:23" ht="15" customHeight="1" x14ac:dyDescent="0.25">
      <c r="A21" s="103">
        <v>1</v>
      </c>
      <c r="B21" s="104" t="s">
        <v>76</v>
      </c>
      <c r="C21" s="105">
        <v>45643</v>
      </c>
      <c r="D21" s="106">
        <f t="shared" si="8"/>
        <v>908844.16666666674</v>
      </c>
      <c r="E21" s="107">
        <f t="shared" si="0"/>
        <v>9088.4416666666675</v>
      </c>
      <c r="F21" s="106">
        <f>+(D21+E21)*8.33/100</f>
        <v>76463.786274166676</v>
      </c>
      <c r="G21" s="108">
        <v>0</v>
      </c>
      <c r="H21" s="109">
        <f t="shared" si="1"/>
        <v>994396.39460750006</v>
      </c>
      <c r="I21" s="110">
        <f t="shared" si="2"/>
        <v>200361.95746241251</v>
      </c>
      <c r="J21" s="111">
        <f t="shared" si="9"/>
        <v>117357.46389</v>
      </c>
      <c r="K21" s="156">
        <f t="shared" si="3"/>
        <v>911391.90103508753</v>
      </c>
      <c r="L21" s="113">
        <v>5</v>
      </c>
      <c r="M21" s="111">
        <f t="shared" si="4"/>
        <v>569619.93814692972</v>
      </c>
      <c r="N21" s="114">
        <f>+M21*1.0833/30*29</f>
        <v>596500.30302808329</v>
      </c>
      <c r="O21" s="160">
        <v>1</v>
      </c>
      <c r="P21" s="110">
        <f>100000+150000</f>
        <v>250000</v>
      </c>
      <c r="Q21" s="110">
        <v>180500</v>
      </c>
      <c r="R21" s="110">
        <v>166000.29999999999</v>
      </c>
      <c r="S21" s="78">
        <f>+N21-P21-Q21-R21</f>
        <v>3.02808330161497E-3</v>
      </c>
      <c r="T21" s="6">
        <f>+S21/T8</f>
        <v>-0.20976682594439933</v>
      </c>
      <c r="U21" s="24">
        <f>+T21*U8</f>
        <v>-1562238.4362209139</v>
      </c>
      <c r="V21" s="116"/>
      <c r="W21">
        <v>355000</v>
      </c>
    </row>
    <row r="22" spans="1:23" ht="15" customHeight="1" x14ac:dyDescent="0.25">
      <c r="A22" s="103">
        <v>1</v>
      </c>
      <c r="B22" s="104" t="s">
        <v>77</v>
      </c>
      <c r="C22" s="105">
        <v>45707</v>
      </c>
      <c r="D22" s="106">
        <f t="shared" si="8"/>
        <v>908844.16666666674</v>
      </c>
      <c r="E22" s="107">
        <f t="shared" si="0"/>
        <v>9088.4416666666675</v>
      </c>
      <c r="F22" s="106">
        <f>+(D22+E22)*8.33/100</f>
        <v>76463.786274166676</v>
      </c>
      <c r="G22" s="108">
        <f>+G21</f>
        <v>0</v>
      </c>
      <c r="H22" s="109">
        <f t="shared" si="1"/>
        <v>994396.39460750006</v>
      </c>
      <c r="I22" s="110">
        <f t="shared" si="2"/>
        <v>200361.95746241251</v>
      </c>
      <c r="J22" s="111">
        <f t="shared" si="9"/>
        <v>117357.46389</v>
      </c>
      <c r="K22" s="156">
        <f t="shared" si="3"/>
        <v>911391.90103508753</v>
      </c>
      <c r="L22" s="113">
        <v>8</v>
      </c>
      <c r="M22" s="111">
        <f t="shared" si="4"/>
        <v>911391.90103508753</v>
      </c>
      <c r="N22" s="114">
        <f>+M22*1.0833/30*30</f>
        <v>987310.8463913101</v>
      </c>
      <c r="O22" s="115"/>
      <c r="P22" s="110">
        <v>445000</v>
      </c>
      <c r="Q22" s="110">
        <v>542300</v>
      </c>
      <c r="R22" s="110">
        <v>10.85</v>
      </c>
      <c r="S22" s="78">
        <f>+N22-P22-Q22-R22</f>
        <v>-3.6086898995559835E-3</v>
      </c>
      <c r="T22" s="6">
        <f>+S22/T8</f>
        <v>0.24998764916531502</v>
      </c>
      <c r="U22" s="24">
        <f>+T22*U8</f>
        <v>1861783.0171586836</v>
      </c>
      <c r="V22" s="116"/>
      <c r="W22">
        <v>560000</v>
      </c>
    </row>
    <row r="23" spans="1:23" ht="15" customHeight="1" x14ac:dyDescent="0.25">
      <c r="A23" s="103">
        <v>1</v>
      </c>
      <c r="B23" s="104" t="s">
        <v>78</v>
      </c>
      <c r="C23" s="105">
        <v>45705</v>
      </c>
      <c r="D23" s="106">
        <f t="shared" si="8"/>
        <v>908844.16666666674</v>
      </c>
      <c r="E23" s="107">
        <f t="shared" si="0"/>
        <v>9088.4416666666675</v>
      </c>
      <c r="F23" s="106">
        <f>+(D23+E23)*8.33/100</f>
        <v>76463.786274166676</v>
      </c>
      <c r="G23" s="108">
        <f>+G22</f>
        <v>0</v>
      </c>
      <c r="H23" s="109">
        <f t="shared" si="1"/>
        <v>994396.39460750006</v>
      </c>
      <c r="I23" s="110">
        <f t="shared" si="2"/>
        <v>200361.95746241251</v>
      </c>
      <c r="J23" s="111">
        <f t="shared" si="9"/>
        <v>117357.46389</v>
      </c>
      <c r="K23" s="156">
        <f t="shared" si="3"/>
        <v>911391.90103508753</v>
      </c>
      <c r="L23" s="113">
        <v>8</v>
      </c>
      <c r="M23" s="111">
        <f t="shared" si="4"/>
        <v>911391.90103508753</v>
      </c>
      <c r="N23" s="114">
        <f>+M23*1.0833</f>
        <v>987310.84639131022</v>
      </c>
      <c r="O23" s="115"/>
      <c r="P23" s="110">
        <v>460000</v>
      </c>
      <c r="Q23" s="110">
        <v>527300</v>
      </c>
      <c r="R23" s="110">
        <v>10.85</v>
      </c>
      <c r="S23" s="78">
        <f>+(N23-P23-Q23-R23)*1</f>
        <v>-3.6086897831406617E-3</v>
      </c>
      <c r="T23" s="6">
        <f>+S23/T8</f>
        <v>0.24998764110078373</v>
      </c>
      <c r="U23" s="24">
        <f>+T23*U8</f>
        <v>1861782.9570980868</v>
      </c>
      <c r="V23" s="154">
        <f>+M23/2*0</f>
        <v>0</v>
      </c>
      <c r="W23">
        <v>580000</v>
      </c>
    </row>
    <row r="24" spans="1:23" ht="15" customHeight="1" x14ac:dyDescent="0.25">
      <c r="A24" s="103">
        <v>1</v>
      </c>
      <c r="B24" s="104" t="s">
        <v>79</v>
      </c>
      <c r="C24" s="105">
        <v>45775</v>
      </c>
      <c r="D24" s="106">
        <f t="shared" si="8"/>
        <v>908844.16666666674</v>
      </c>
      <c r="E24" s="107">
        <f t="shared" si="0"/>
        <v>9088.4416666666675</v>
      </c>
      <c r="F24" s="106">
        <f>+(D24+E24)*8.33/100*0</f>
        <v>0</v>
      </c>
      <c r="G24" s="108">
        <f>+G23</f>
        <v>0</v>
      </c>
      <c r="H24" s="109">
        <f t="shared" si="1"/>
        <v>917932.6083333334</v>
      </c>
      <c r="I24" s="110">
        <f t="shared" si="2"/>
        <v>185451.51913895001</v>
      </c>
      <c r="J24" s="111">
        <f t="shared" si="9"/>
        <v>117357.46389</v>
      </c>
      <c r="K24" s="156">
        <f t="shared" si="3"/>
        <v>849838.55308438337</v>
      </c>
      <c r="L24" s="113">
        <v>8</v>
      </c>
      <c r="M24" s="111">
        <f t="shared" si="4"/>
        <v>849838.55308438337</v>
      </c>
      <c r="N24" s="114">
        <f>+M24*1.0833/30*28</f>
        <v>859254.76425255835</v>
      </c>
      <c r="O24" s="162">
        <v>2</v>
      </c>
      <c r="P24" s="110">
        <v>410000</v>
      </c>
      <c r="Q24" s="110">
        <v>449250</v>
      </c>
      <c r="R24" s="110">
        <v>4.76</v>
      </c>
      <c r="S24" s="78">
        <f>+N24-P24-Q24-R24</f>
        <v>4.2525583505632625E-3</v>
      </c>
      <c r="T24" s="6">
        <f>+S24/T8</f>
        <v>-0.2945908611117965</v>
      </c>
      <c r="U24" s="24">
        <f>+T24*U8</f>
        <v>-2193965.4381301044</v>
      </c>
      <c r="V24" s="116">
        <f>+M24/2</f>
        <v>424919.27654219168</v>
      </c>
      <c r="W24">
        <v>555000</v>
      </c>
    </row>
    <row r="25" spans="1:23" ht="15" customHeight="1" x14ac:dyDescent="0.25">
      <c r="A25" s="103">
        <v>0</v>
      </c>
      <c r="B25" s="104" t="s">
        <v>80</v>
      </c>
      <c r="C25" s="105">
        <v>45943</v>
      </c>
      <c r="D25" s="106">
        <f t="shared" si="8"/>
        <v>908844.16666666674</v>
      </c>
      <c r="E25" s="107">
        <f t="shared" si="0"/>
        <v>0</v>
      </c>
      <c r="F25" s="106">
        <f>+(D25+E25)*8.33/100*0</f>
        <v>0</v>
      </c>
      <c r="G25" s="108">
        <f>+G24</f>
        <v>0</v>
      </c>
      <c r="H25" s="109">
        <f t="shared" si="1"/>
        <v>908844.16666666674</v>
      </c>
      <c r="I25" s="110">
        <f t="shared" si="2"/>
        <v>183679.27301395001</v>
      </c>
      <c r="J25" s="111">
        <f t="shared" si="9"/>
        <v>117357.46389</v>
      </c>
      <c r="K25" s="156">
        <f t="shared" si="3"/>
        <v>842522.35754271678</v>
      </c>
      <c r="L25" s="113">
        <v>4</v>
      </c>
      <c r="M25" s="111">
        <f t="shared" si="4"/>
        <v>421261.17877135839</v>
      </c>
      <c r="N25" s="114">
        <f>+M25*1.0833/30*26</f>
        <v>395505.27030127752</v>
      </c>
      <c r="O25" s="162">
        <v>4</v>
      </c>
      <c r="P25" s="110">
        <v>200000</v>
      </c>
      <c r="Q25" s="110">
        <v>100000</v>
      </c>
      <c r="R25" s="110">
        <v>95505.27</v>
      </c>
      <c r="S25" s="78">
        <f>+N25-P25-Q25-R25</f>
        <v>3.0127751233521849E-4</v>
      </c>
      <c r="T25" s="6">
        <f>+S25/T8</f>
        <v>-2.0870637032104747E-2</v>
      </c>
      <c r="U25" s="24">
        <f>+T25*U8</f>
        <v>-155434.06929660009</v>
      </c>
      <c r="V25" s="116">
        <f>+M25/360*4*0</f>
        <v>0</v>
      </c>
      <c r="W25">
        <v>247000</v>
      </c>
    </row>
    <row r="26" spans="1:23" ht="15" customHeight="1" x14ac:dyDescent="0.25">
      <c r="A26" s="103">
        <v>0</v>
      </c>
      <c r="B26" s="104" t="s">
        <v>81</v>
      </c>
      <c r="C26" s="105">
        <v>45962</v>
      </c>
      <c r="D26" s="106">
        <f t="shared" si="8"/>
        <v>908844.16666666674</v>
      </c>
      <c r="E26" s="107">
        <f t="shared" si="0"/>
        <v>0</v>
      </c>
      <c r="F26" s="106">
        <f>+(D26+E26)*8.33/100</f>
        <v>75706.719083333344</v>
      </c>
      <c r="G26" s="108">
        <f>+G25</f>
        <v>0</v>
      </c>
      <c r="H26" s="109">
        <f t="shared" si="1"/>
        <v>984550.88575000013</v>
      </c>
      <c r="I26" s="110">
        <f t="shared" si="2"/>
        <v>198442.08323520003</v>
      </c>
      <c r="J26" s="111">
        <f t="shared" si="9"/>
        <v>117357.46389</v>
      </c>
      <c r="K26" s="156">
        <f t="shared" si="3"/>
        <v>903466.26640480012</v>
      </c>
      <c r="L26" s="113">
        <v>3</v>
      </c>
      <c r="M26" s="111">
        <f t="shared" si="4"/>
        <v>338799.84990180004</v>
      </c>
      <c r="N26" s="114">
        <f>+M26*1.0833/30*30</f>
        <v>367021.87739861995</v>
      </c>
      <c r="O26" s="159">
        <v>1</v>
      </c>
      <c r="P26" s="110">
        <v>170000</v>
      </c>
      <c r="Q26" s="110">
        <v>100000</v>
      </c>
      <c r="R26" s="110">
        <v>97021.88</v>
      </c>
      <c r="S26" s="78">
        <f>+N26-P26-Q26-R26</f>
        <v>-2.601380052510649E-3</v>
      </c>
      <c r="T26" s="6">
        <f>+S26/T8</f>
        <v>0.18020747196723552</v>
      </c>
      <c r="U26" s="24">
        <f>+T26*U8</f>
        <v>1342095.1474759865</v>
      </c>
      <c r="V26" s="116">
        <f>+M26/360*3*0</f>
        <v>0</v>
      </c>
      <c r="W26">
        <v>215000</v>
      </c>
    </row>
    <row r="27" spans="1:23" ht="15" customHeight="1" x14ac:dyDescent="0.25">
      <c r="A27" s="103">
        <v>3</v>
      </c>
      <c r="B27" s="104" t="s">
        <v>82</v>
      </c>
      <c r="C27" s="105">
        <v>44927</v>
      </c>
      <c r="D27" s="106">
        <f>+D18</f>
        <v>908844.16666666674</v>
      </c>
      <c r="E27" s="107">
        <f t="shared" si="0"/>
        <v>27265.325000000001</v>
      </c>
      <c r="F27" s="106">
        <f>+(D27+E27)*8.33/100*1</f>
        <v>77977.920655833339</v>
      </c>
      <c r="G27" s="108">
        <f>+G24</f>
        <v>0</v>
      </c>
      <c r="H27" s="109">
        <f t="shared" si="1"/>
        <v>1014087.4123225</v>
      </c>
      <c r="I27" s="110">
        <f t="shared" si="2"/>
        <v>204201.7059168375</v>
      </c>
      <c r="J27" s="111">
        <f>+J18</f>
        <v>117357.46389</v>
      </c>
      <c r="K27" s="156">
        <f t="shared" si="3"/>
        <v>927243.17029566248</v>
      </c>
      <c r="L27" s="113">
        <v>4</v>
      </c>
      <c r="M27" s="111">
        <f t="shared" si="4"/>
        <v>463621.58514783124</v>
      </c>
      <c r="N27" s="114">
        <f>+M27*1.0833/30*30</f>
        <v>502241.26319064555</v>
      </c>
      <c r="O27" s="115"/>
      <c r="P27" s="110">
        <v>235000</v>
      </c>
      <c r="Q27" s="110">
        <v>267200</v>
      </c>
      <c r="R27" s="110">
        <v>41.26</v>
      </c>
      <c r="S27" s="78">
        <f>+(N27-P27-Q27-R27)*1</f>
        <v>3.1906455499139952E-3</v>
      </c>
      <c r="T27" s="6">
        <f>+S27/T8</f>
        <v>-0.22102813002605559</v>
      </c>
      <c r="U27" s="24">
        <f>+T27*U8</f>
        <v>-1646106.998369049</v>
      </c>
      <c r="V27" s="116"/>
      <c r="W27">
        <v>295000</v>
      </c>
    </row>
    <row r="28" spans="1:23" ht="24" customHeight="1" x14ac:dyDescent="0.25">
      <c r="A28" s="121">
        <v>20</v>
      </c>
      <c r="K28" s="122">
        <f>SUM(K9:K27)</f>
        <v>17707436.428585097</v>
      </c>
      <c r="M28" s="123">
        <f>SUM(M9:M27)</f>
        <v>14472591.838695548</v>
      </c>
      <c r="N28" s="124">
        <f>SUM(N9:N27)</f>
        <v>15426077.985564526</v>
      </c>
      <c r="O28" s="125"/>
      <c r="P28" s="126">
        <f t="shared" ref="P28:U28" si="10">SUM(P9:P27)</f>
        <v>7900890.8399999999</v>
      </c>
      <c r="Q28" s="126">
        <f t="shared" si="10"/>
        <v>6662235.0899999999</v>
      </c>
      <c r="R28" s="126">
        <f t="shared" si="10"/>
        <v>862952.07</v>
      </c>
      <c r="S28" s="127">
        <f t="shared" si="10"/>
        <v>-1.4435472758774506E-2</v>
      </c>
      <c r="T28" s="128">
        <f t="shared" si="10"/>
        <v>1</v>
      </c>
      <c r="U28" s="101">
        <f t="shared" si="10"/>
        <v>7447499.9999999981</v>
      </c>
      <c r="V28" s="129">
        <f>SUM(V9:V26)</f>
        <v>932131.85215660417</v>
      </c>
    </row>
    <row r="29" spans="1:23" ht="15" customHeight="1" x14ac:dyDescent="0.25">
      <c r="A29" s="1"/>
      <c r="C29" s="2" t="s">
        <v>83</v>
      </c>
      <c r="D29" s="3">
        <f>+B6</f>
        <v>46113</v>
      </c>
      <c r="E29" s="4"/>
      <c r="F29" s="5"/>
      <c r="M29" s="6"/>
      <c r="N29" s="6"/>
      <c r="O29" s="6"/>
      <c r="P29" s="6"/>
      <c r="Q29" s="24"/>
      <c r="R29" s="15"/>
      <c r="S29" s="25">
        <f>+S28/2</f>
        <v>-7.2177363793872532E-3</v>
      </c>
    </row>
    <row r="30" spans="1:23" ht="15" customHeight="1" x14ac:dyDescent="0.25">
      <c r="A30" s="1"/>
      <c r="B30" s="8"/>
      <c r="C30" s="9" t="s">
        <v>0</v>
      </c>
      <c r="D30" s="130">
        <v>52333.59</v>
      </c>
      <c r="E30" s="4" t="s">
        <v>86</v>
      </c>
      <c r="F30" s="16"/>
      <c r="G30" s="16"/>
      <c r="H30" s="16"/>
      <c r="I30" s="16"/>
      <c r="J30" s="16"/>
      <c r="K30" s="15"/>
      <c r="L30" s="16"/>
      <c r="M30" s="16"/>
      <c r="N30" s="131">
        <f>+N29-N28</f>
        <v>-15426077.985564526</v>
      </c>
      <c r="O30" s="131"/>
      <c r="P30" s="15"/>
    </row>
    <row r="31" spans="1:23" ht="15" customHeight="1" x14ac:dyDescent="0.25">
      <c r="A31" s="1"/>
      <c r="B31" s="1"/>
      <c r="C31" s="19" t="s">
        <v>3</v>
      </c>
      <c r="D31" s="132">
        <v>40000</v>
      </c>
      <c r="E31" s="4" t="s">
        <v>86</v>
      </c>
      <c r="K31" s="24"/>
    </row>
    <row r="32" spans="1:23" ht="15" customHeight="1" x14ac:dyDescent="0.25">
      <c r="A32" s="1"/>
      <c r="B32" s="1"/>
      <c r="C32" s="19" t="s">
        <v>5</v>
      </c>
      <c r="D32" s="132">
        <v>103321.05</v>
      </c>
      <c r="E32" s="4" t="s">
        <v>86</v>
      </c>
      <c r="F32" s="133"/>
      <c r="M32" s="29" t="s">
        <v>8</v>
      </c>
      <c r="N32" s="30">
        <v>65970.33</v>
      </c>
      <c r="O32" s="134"/>
      <c r="P32" s="6"/>
      <c r="Q32" s="6"/>
      <c r="R32" s="24"/>
      <c r="S32" s="25">
        <f>351857.96-215000</f>
        <v>136857.96000000002</v>
      </c>
    </row>
    <row r="33" spans="1:21" ht="15" customHeight="1" x14ac:dyDescent="0.25">
      <c r="A33" s="1"/>
      <c r="B33" s="1"/>
      <c r="C33" s="19" t="s">
        <v>10</v>
      </c>
      <c r="D33" s="132">
        <v>7863</v>
      </c>
      <c r="E33" s="4" t="s">
        <v>86</v>
      </c>
      <c r="M33" s="6"/>
      <c r="P33" s="6"/>
      <c r="R33" s="24"/>
      <c r="S33" s="7"/>
      <c r="U33">
        <f>1408000+5250000+1587500+1170000+48000-430000+200000+65000+35000+45100</f>
        <v>9378600</v>
      </c>
    </row>
    <row r="34" spans="1:21" ht="15" customHeight="1" x14ac:dyDescent="0.25">
      <c r="A34" s="1"/>
      <c r="B34" s="1"/>
      <c r="C34" s="19" t="s">
        <v>13</v>
      </c>
      <c r="D34" s="132">
        <v>26592.38</v>
      </c>
      <c r="E34" s="4" t="s">
        <v>86</v>
      </c>
      <c r="M34" s="29" t="s">
        <v>85</v>
      </c>
      <c r="N34" s="30">
        <v>100000</v>
      </c>
      <c r="O34" s="134"/>
      <c r="P34" s="6"/>
    </row>
    <row r="35" spans="1:21" ht="15" customHeight="1" x14ac:dyDescent="0.25">
      <c r="A35" s="1"/>
      <c r="B35" s="1"/>
      <c r="C35" s="19" t="s">
        <v>16</v>
      </c>
      <c r="D35" s="132">
        <v>82770</v>
      </c>
      <c r="E35" s="4" t="s">
        <v>86</v>
      </c>
      <c r="M35" s="6"/>
      <c r="P35" s="6"/>
      <c r="S35" s="7"/>
      <c r="U35">
        <f>310000+14000+30000</f>
        <v>354000</v>
      </c>
    </row>
    <row r="36" spans="1:21" ht="15" customHeight="1" x14ac:dyDescent="0.25">
      <c r="A36" s="1"/>
      <c r="B36" s="1"/>
      <c r="C36" s="19" t="s">
        <v>20</v>
      </c>
      <c r="D36" s="132">
        <v>101060</v>
      </c>
      <c r="E36" s="4" t="s">
        <v>86</v>
      </c>
    </row>
    <row r="37" spans="1:21" ht="15" customHeight="1" x14ac:dyDescent="0.25">
      <c r="A37" s="1"/>
      <c r="B37" s="1"/>
      <c r="C37" s="19" t="s">
        <v>24</v>
      </c>
      <c r="D37" s="132">
        <f>14999+4552+3150</f>
        <v>22701</v>
      </c>
      <c r="E37" s="4" t="s">
        <v>86</v>
      </c>
      <c r="M37" s="6"/>
      <c r="P37" s="6"/>
      <c r="S37" s="7"/>
      <c r="U37">
        <f>9000000+354000</f>
        <v>9354000</v>
      </c>
    </row>
    <row r="38" spans="1:21" ht="15" customHeight="1" x14ac:dyDescent="0.25">
      <c r="A38" s="1"/>
      <c r="B38" s="1"/>
      <c r="C38" s="19" t="s">
        <v>29</v>
      </c>
      <c r="D38" s="132">
        <v>50000</v>
      </c>
      <c r="E38" s="4" t="s">
        <v>86</v>
      </c>
    </row>
    <row r="39" spans="1:21" ht="15" customHeight="1" x14ac:dyDescent="0.25">
      <c r="A39" s="1"/>
      <c r="B39" s="1"/>
      <c r="C39" s="19" t="s">
        <v>89</v>
      </c>
      <c r="D39" s="132">
        <v>35000</v>
      </c>
      <c r="E39" s="4" t="s">
        <v>86</v>
      </c>
      <c r="M39" s="6"/>
      <c r="P39" s="6"/>
      <c r="S39" s="7"/>
      <c r="U39">
        <f>9378600-9333500</f>
        <v>45100</v>
      </c>
    </row>
    <row r="40" spans="1:21" ht="15" customHeight="1" x14ac:dyDescent="0.25">
      <c r="A40" s="1"/>
      <c r="B40" s="1"/>
      <c r="C40" s="53"/>
      <c r="D40" s="54">
        <f>SUM(D30:D39)</f>
        <v>521641.02</v>
      </c>
      <c r="E40" s="21"/>
    </row>
    <row r="41" spans="1:21" ht="15" customHeight="1" x14ac:dyDescent="0.25">
      <c r="A41" s="1"/>
      <c r="B41" s="1"/>
      <c r="C41" s="59" t="s">
        <v>39</v>
      </c>
      <c r="D41" s="60">
        <f>+D40/2</f>
        <v>260820.51</v>
      </c>
      <c r="E41" s="21"/>
    </row>
    <row r="42" spans="1:21" ht="15" customHeight="1" x14ac:dyDescent="0.25">
      <c r="A42" s="1"/>
      <c r="B42" s="36"/>
      <c r="C42" s="59" t="s">
        <v>41</v>
      </c>
      <c r="D42" s="61">
        <v>0</v>
      </c>
      <c r="E42" s="4"/>
    </row>
    <row r="43" spans="1:21" ht="15" customHeight="1" x14ac:dyDescent="0.25">
      <c r="A43" s="1"/>
      <c r="B43" s="1"/>
      <c r="C43" s="59" t="s">
        <v>42</v>
      </c>
      <c r="D43" s="61">
        <f>308000/2</f>
        <v>154000</v>
      </c>
      <c r="E43" s="4"/>
    </row>
    <row r="44" spans="1:21" ht="15" customHeight="1" x14ac:dyDescent="0.25">
      <c r="A44" s="65"/>
      <c r="B44" s="65"/>
      <c r="C44" s="66" t="s">
        <v>44</v>
      </c>
      <c r="D44" s="67">
        <f>+D41+D43+D42</f>
        <v>414820.51</v>
      </c>
      <c r="E44" s="68"/>
      <c r="F44" s="69"/>
      <c r="G44" s="69"/>
      <c r="H44" s="69"/>
      <c r="I44" s="69"/>
      <c r="J44" s="69"/>
      <c r="K44" s="69"/>
      <c r="L44" s="69"/>
      <c r="M44" s="70"/>
      <c r="N44" s="69"/>
      <c r="O44" s="69"/>
      <c r="P44" s="70"/>
      <c r="Q44" s="69"/>
      <c r="R44" s="69"/>
      <c r="S44" s="71"/>
    </row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spans="18:18" ht="15.75" customHeight="1" x14ac:dyDescent="0.25"/>
    <row r="50" spans="18:18" ht="15.75" customHeight="1" x14ac:dyDescent="0.25"/>
    <row r="51" spans="18:18" ht="15.75" customHeight="1" x14ac:dyDescent="0.25"/>
    <row r="52" spans="18:18" ht="15.75" customHeight="1" x14ac:dyDescent="0.25"/>
    <row r="53" spans="18:18" ht="15" customHeight="1" x14ac:dyDescent="0.25">
      <c r="R53">
        <v>269600</v>
      </c>
    </row>
    <row r="54" spans="18:18" ht="15.75" customHeight="1" x14ac:dyDescent="0.25"/>
    <row r="55" spans="18:18" ht="15.75" customHeight="1" x14ac:dyDescent="0.25"/>
    <row r="56" spans="18:18" ht="15.75" customHeight="1" x14ac:dyDescent="0.25"/>
    <row r="57" spans="18:18" ht="15.75" customHeight="1" x14ac:dyDescent="0.25"/>
    <row r="58" spans="18:18" ht="15.75" customHeight="1" x14ac:dyDescent="0.25"/>
    <row r="59" spans="18:18" ht="15.75" customHeight="1" x14ac:dyDescent="0.25"/>
    <row r="60" spans="18:18" ht="15.75" customHeight="1" x14ac:dyDescent="0.25"/>
    <row r="61" spans="18:18" ht="15.75" customHeight="1" x14ac:dyDescent="0.25"/>
    <row r="62" spans="18:18" ht="15.75" customHeight="1" x14ac:dyDescent="0.25"/>
    <row r="63" spans="18:18" ht="15.75" customHeight="1" x14ac:dyDescent="0.25"/>
    <row r="64" spans="18:1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5:N5"/>
  </mergeCells>
  <pageMargins left="0.15763888888888899" right="0.15763888888888899" top="7.8472222222222193E-2" bottom="0" header="0.511811023622047" footer="0.511811023622047"/>
  <pageSetup paperSize="9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W1000"/>
  <sheetViews>
    <sheetView zoomScaleNormal="100"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x14ac:dyDescent="0.25"/>
  <cols>
    <col min="1" max="1" width="3.140625" customWidth="1"/>
    <col min="2" max="2" width="9.5703125" customWidth="1"/>
    <col min="3" max="3" width="20" customWidth="1"/>
    <col min="5" max="5" width="14.7109375" customWidth="1"/>
    <col min="6" max="6" width="12.85546875" customWidth="1"/>
    <col min="7" max="7" width="13.140625" customWidth="1"/>
    <col min="8" max="8" width="13.42578125" customWidth="1"/>
    <col min="9" max="9" width="14" customWidth="1"/>
    <col min="10" max="10" width="14.140625" customWidth="1"/>
    <col min="11" max="11" width="15.7109375" customWidth="1"/>
    <col min="12" max="12" width="14.28515625" customWidth="1"/>
    <col min="13" max="13" width="13.7109375" customWidth="1"/>
    <col min="14" max="14" width="18.28515625" customWidth="1"/>
    <col min="15" max="15" width="7.42578125" customWidth="1"/>
    <col min="16" max="16" width="20.5703125" customWidth="1"/>
    <col min="17" max="17" width="17" customWidth="1"/>
    <col min="18" max="18" width="15.5703125" customWidth="1"/>
    <col min="19" max="19" width="28.7109375" customWidth="1"/>
    <col min="20" max="20" width="17.85546875" customWidth="1"/>
    <col min="21" max="21" width="20.5703125" customWidth="1"/>
    <col min="22" max="22" width="16" customWidth="1"/>
    <col min="23" max="26" width="11.7109375" customWidth="1"/>
  </cols>
  <sheetData>
    <row r="3" spans="1:23" ht="15" customHeight="1" x14ac:dyDescent="0.25">
      <c r="D3" s="72">
        <f>+D4/48*40</f>
        <v>889390</v>
      </c>
      <c r="E3" s="73">
        <f>+D3*A8*0.01*0</f>
        <v>0</v>
      </c>
      <c r="F3" s="72">
        <f>+(D3+E3)*8.33/100</f>
        <v>74086.187000000005</v>
      </c>
      <c r="G3" s="74"/>
      <c r="H3" s="72">
        <f>+D3+E3+F3+G3</f>
        <v>963476.18700000003</v>
      </c>
      <c r="I3" s="75">
        <f>+H3*0.195+J3*0.055</f>
        <v>193256.74022662503</v>
      </c>
      <c r="J3" s="76">
        <f>J4*1.0833/48*40</f>
        <v>97797.886574999997</v>
      </c>
      <c r="K3" s="77">
        <f>+H3-I3+J3</f>
        <v>868017.33334837505</v>
      </c>
    </row>
    <row r="4" spans="1:23" ht="15" customHeight="1" x14ac:dyDescent="0.25">
      <c r="C4" s="79" t="s">
        <v>46</v>
      </c>
      <c r="D4" s="72">
        <f>+C7</f>
        <v>1067268</v>
      </c>
      <c r="E4" s="73">
        <v>0</v>
      </c>
      <c r="F4" s="72">
        <f>+(D4+E4)*8.33/100</f>
        <v>88903.424399999989</v>
      </c>
      <c r="G4" s="80">
        <v>0</v>
      </c>
      <c r="H4" s="72">
        <f>+D4+E4+F4+G4</f>
        <v>1156171.4243999999</v>
      </c>
      <c r="I4" s="75">
        <f>+H4*0.195+J4*0.055</f>
        <v>231411.75925799998</v>
      </c>
      <c r="J4" s="76">
        <f>(40000+60000)*1.083333</f>
        <v>108333.3</v>
      </c>
      <c r="K4" s="77">
        <f>+H4-I4+J4</f>
        <v>1033092.965142</v>
      </c>
    </row>
    <row r="5" spans="1:23" ht="15" customHeight="1" x14ac:dyDescent="0.25">
      <c r="B5" s="182" t="s">
        <v>93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81"/>
    </row>
    <row r="6" spans="1:23" ht="15" customHeight="1" x14ac:dyDescent="0.25">
      <c r="A6" s="8"/>
      <c r="B6" s="82">
        <v>46082</v>
      </c>
      <c r="C6" s="158">
        <f>+C7</f>
        <v>1067268</v>
      </c>
      <c r="D6" s="84"/>
      <c r="E6" s="15"/>
      <c r="F6" s="85"/>
      <c r="G6" s="15"/>
      <c r="H6" s="16"/>
      <c r="I6" s="86"/>
      <c r="J6" s="86"/>
      <c r="K6" s="87"/>
      <c r="L6" s="16"/>
      <c r="M6" s="16"/>
      <c r="N6" s="16"/>
      <c r="O6" s="16"/>
      <c r="P6" s="16"/>
      <c r="Q6" s="88"/>
      <c r="R6" s="4"/>
      <c r="S6" s="4"/>
    </row>
    <row r="7" spans="1:23" ht="15" customHeight="1" x14ac:dyDescent="0.25">
      <c r="A7" s="1"/>
      <c r="B7" s="89" t="s">
        <v>48</v>
      </c>
      <c r="C7" s="90">
        <v>1067268</v>
      </c>
      <c r="J7" s="91"/>
      <c r="K7" s="24"/>
    </row>
    <row r="8" spans="1:23" ht="15" customHeight="1" x14ac:dyDescent="0.25">
      <c r="A8" s="92"/>
      <c r="B8" s="93"/>
      <c r="C8" s="94" t="s">
        <v>49</v>
      </c>
      <c r="D8" s="94" t="s">
        <v>50</v>
      </c>
      <c r="E8" s="94" t="s">
        <v>51</v>
      </c>
      <c r="F8" s="94" t="s">
        <v>52</v>
      </c>
      <c r="G8" s="95" t="s">
        <v>53</v>
      </c>
      <c r="H8" s="96" t="s">
        <v>54</v>
      </c>
      <c r="I8" s="94" t="s">
        <v>55</v>
      </c>
      <c r="J8" s="94" t="s">
        <v>56</v>
      </c>
      <c r="K8" s="94" t="s">
        <v>57</v>
      </c>
      <c r="L8" s="94" t="s">
        <v>58</v>
      </c>
      <c r="M8" s="94" t="s">
        <v>59</v>
      </c>
      <c r="N8" s="97" t="s">
        <v>60</v>
      </c>
      <c r="O8" s="97" t="s">
        <v>61</v>
      </c>
      <c r="P8" s="98" t="s">
        <v>62</v>
      </c>
      <c r="Q8" s="98" t="s">
        <v>62</v>
      </c>
      <c r="R8" s="98" t="s">
        <v>62</v>
      </c>
      <c r="S8" s="99" t="s">
        <v>63</v>
      </c>
      <c r="T8" s="100">
        <f>+S29</f>
        <v>2.5484337471425533E-2</v>
      </c>
      <c r="U8" s="101">
        <f>50000+550000+170000+950000</f>
        <v>1720000</v>
      </c>
      <c r="V8" s="102" t="s">
        <v>64</v>
      </c>
    </row>
    <row r="9" spans="1:23" ht="15" customHeight="1" x14ac:dyDescent="0.25">
      <c r="A9" s="103">
        <v>14</v>
      </c>
      <c r="B9" s="104" t="s">
        <v>65</v>
      </c>
      <c r="C9" s="105">
        <v>40664</v>
      </c>
      <c r="D9" s="106">
        <f>+C7/48*40</f>
        <v>889390</v>
      </c>
      <c r="E9" s="107">
        <f t="shared" ref="E9:E28" si="0">+D9*A9*0.01</f>
        <v>124514.6</v>
      </c>
      <c r="F9" s="106">
        <f t="shared" ref="F9:F14" si="1">+(D9+E9)*8.33/100</f>
        <v>84458.25318</v>
      </c>
      <c r="G9" s="108">
        <f>+G4</f>
        <v>0</v>
      </c>
      <c r="H9" s="109">
        <f t="shared" ref="H9:H28" si="2">+D9+E9+F9+G9</f>
        <v>1098362.8531800001</v>
      </c>
      <c r="I9" s="110">
        <f t="shared" ref="I9:I24" si="3">+H9*0.195+J9*0.055</f>
        <v>219559.64013172503</v>
      </c>
      <c r="J9" s="111">
        <f>+J4/48*40*1.0833</f>
        <v>97797.886574999997</v>
      </c>
      <c r="K9" s="112">
        <f t="shared" ref="K9:K28" si="4">+H9-I9+J9</f>
        <v>976601.09962327511</v>
      </c>
      <c r="L9" s="113">
        <v>8</v>
      </c>
      <c r="M9" s="111">
        <f t="shared" ref="M9:M28" si="5">+K9/8*L9</f>
        <v>976601.09962327511</v>
      </c>
      <c r="N9" s="114">
        <f>+M9*1.0833</f>
        <v>1057951.9712218938</v>
      </c>
      <c r="O9" s="115"/>
      <c r="P9" s="110">
        <f>+D45</f>
        <v>300917.59999999998</v>
      </c>
      <c r="Q9" s="110">
        <v>465000</v>
      </c>
      <c r="R9" s="110">
        <f>100000+192034.37</f>
        <v>292034.37</v>
      </c>
      <c r="S9" s="78">
        <f>+N9-P9-Q9-R9</f>
        <v>1.2218938209116459E-3</v>
      </c>
      <c r="T9" s="6">
        <f>+S9/T8</f>
        <v>4.7946854505505655E-2</v>
      </c>
      <c r="U9" s="24">
        <f>+T9*U8</f>
        <v>82468.589749469727</v>
      </c>
      <c r="V9" s="116">
        <f>+M9/2</f>
        <v>488300.54981163755</v>
      </c>
      <c r="W9">
        <v>465000</v>
      </c>
    </row>
    <row r="10" spans="1:23" ht="15" customHeight="1" x14ac:dyDescent="0.25">
      <c r="A10" s="103">
        <v>12</v>
      </c>
      <c r="B10" s="104" t="s">
        <v>66</v>
      </c>
      <c r="C10" s="105">
        <v>41529</v>
      </c>
      <c r="D10" s="106">
        <f t="shared" ref="D10:D18" si="6">+D9</f>
        <v>889390</v>
      </c>
      <c r="E10" s="107">
        <f t="shared" si="0"/>
        <v>106726.8</v>
      </c>
      <c r="F10" s="106">
        <f t="shared" si="1"/>
        <v>82976.529439999998</v>
      </c>
      <c r="G10" s="108">
        <f>+G9</f>
        <v>0</v>
      </c>
      <c r="H10" s="109">
        <f t="shared" si="2"/>
        <v>1079093.32944</v>
      </c>
      <c r="I10" s="110">
        <f t="shared" si="3"/>
        <v>215802.083002425</v>
      </c>
      <c r="J10" s="111">
        <f t="shared" ref="J10:J18" si="7">+J9</f>
        <v>97797.886574999997</v>
      </c>
      <c r="K10" s="112">
        <f t="shared" si="4"/>
        <v>961089.13301257498</v>
      </c>
      <c r="L10" s="113">
        <v>8</v>
      </c>
      <c r="M10" s="111">
        <f t="shared" si="5"/>
        <v>961089.13301257498</v>
      </c>
      <c r="N10" s="114">
        <f>+M10*1.0833/30*30</f>
        <v>1041147.8577925223</v>
      </c>
      <c r="O10" s="115"/>
      <c r="P10" s="110">
        <v>100000</v>
      </c>
      <c r="Q10" s="110">
        <v>575000</v>
      </c>
      <c r="R10" s="110">
        <f>100000+266147.86</f>
        <v>366147.86</v>
      </c>
      <c r="S10" s="78">
        <f>+N10-P10-Q10-R10</f>
        <v>-2.2074776934459805E-3</v>
      </c>
      <c r="T10" s="6">
        <f>+S10/T8</f>
        <v>-8.6620956731605372E-2</v>
      </c>
      <c r="U10" s="24">
        <f>+T10*U8</f>
        <v>-148988.04557836123</v>
      </c>
      <c r="V10" s="154">
        <f>+M10/2*0</f>
        <v>0</v>
      </c>
      <c r="W10">
        <v>575000</v>
      </c>
    </row>
    <row r="11" spans="1:23" ht="15" customHeight="1" x14ac:dyDescent="0.25">
      <c r="A11" s="103">
        <v>2</v>
      </c>
      <c r="B11" s="104" t="s">
        <v>67</v>
      </c>
      <c r="C11" s="105">
        <v>45017</v>
      </c>
      <c r="D11" s="106">
        <f t="shared" si="6"/>
        <v>889390</v>
      </c>
      <c r="E11" s="107">
        <f t="shared" si="0"/>
        <v>17787.8</v>
      </c>
      <c r="F11" s="106">
        <f t="shared" si="1"/>
        <v>75567.910740000007</v>
      </c>
      <c r="G11" s="108">
        <f>+G10</f>
        <v>0</v>
      </c>
      <c r="H11" s="109">
        <f t="shared" si="2"/>
        <v>982745.71074000001</v>
      </c>
      <c r="I11" s="110">
        <f t="shared" si="3"/>
        <v>197014.29735592502</v>
      </c>
      <c r="J11" s="111">
        <f t="shared" si="7"/>
        <v>97797.886574999997</v>
      </c>
      <c r="K11" s="112">
        <f t="shared" si="4"/>
        <v>883529.29995907506</v>
      </c>
      <c r="L11" s="113">
        <v>8</v>
      </c>
      <c r="M11" s="111">
        <f t="shared" si="5"/>
        <v>883529.29995907506</v>
      </c>
      <c r="N11" s="114">
        <f>+M11*1.0833</f>
        <v>957127.29064566595</v>
      </c>
      <c r="O11" s="115"/>
      <c r="P11" s="110"/>
      <c r="Q11" s="110">
        <v>585000</v>
      </c>
      <c r="R11" s="110">
        <f>100000+272127.29</f>
        <v>372127.29</v>
      </c>
      <c r="S11" s="78">
        <f>+N11-P11-Q11-R11</f>
        <v>6.4566597575321794E-4</v>
      </c>
      <c r="T11" s="6">
        <f>+S11/T8</f>
        <v>2.5335796014990572E-2</v>
      </c>
      <c r="U11" s="24">
        <f>+T11*U8</f>
        <v>43577.569145783782</v>
      </c>
      <c r="V11" s="116"/>
      <c r="W11">
        <v>585000</v>
      </c>
    </row>
    <row r="12" spans="1:23" ht="15" customHeight="1" x14ac:dyDescent="0.25">
      <c r="A12" s="103">
        <v>10</v>
      </c>
      <c r="B12" s="104" t="s">
        <v>68</v>
      </c>
      <c r="C12" s="105">
        <v>42269</v>
      </c>
      <c r="D12" s="106">
        <f t="shared" si="6"/>
        <v>889390</v>
      </c>
      <c r="E12" s="107">
        <f t="shared" si="0"/>
        <v>88939</v>
      </c>
      <c r="F12" s="106">
        <f t="shared" si="1"/>
        <v>81494.805699999997</v>
      </c>
      <c r="G12" s="108">
        <f>+G11</f>
        <v>0</v>
      </c>
      <c r="H12" s="109">
        <f t="shared" si="2"/>
        <v>1059823.8056999999</v>
      </c>
      <c r="I12" s="110">
        <f t="shared" si="3"/>
        <v>212044.52587312501</v>
      </c>
      <c r="J12" s="111">
        <f t="shared" si="7"/>
        <v>97797.886574999997</v>
      </c>
      <c r="K12" s="112">
        <f t="shared" si="4"/>
        <v>945577.16640187486</v>
      </c>
      <c r="L12" s="113">
        <v>4</v>
      </c>
      <c r="M12" s="111">
        <f t="shared" si="5"/>
        <v>472788.58320093743</v>
      </c>
      <c r="N12" s="114">
        <f>+M12*1.0833</f>
        <v>512171.87218157545</v>
      </c>
      <c r="O12" s="115"/>
      <c r="P12" s="110">
        <f>+N33</f>
        <v>65970.33</v>
      </c>
      <c r="Q12" s="110">
        <v>275000</v>
      </c>
      <c r="R12" s="110">
        <f>50000+50000+71201.54</f>
        <v>171201.53999999998</v>
      </c>
      <c r="S12" s="78">
        <f>+(N12-P12-Q12-R12)*1</f>
        <v>2.1815754589624703E-3</v>
      </c>
      <c r="T12" s="6">
        <f>+S12/T8</f>
        <v>8.5604558541440404E-2</v>
      </c>
      <c r="U12" s="24">
        <f>+T12*U8*1</f>
        <v>147239.8406912775</v>
      </c>
      <c r="V12" s="116"/>
      <c r="W12">
        <v>275000</v>
      </c>
    </row>
    <row r="13" spans="1:23" ht="15" customHeight="1" x14ac:dyDescent="0.25">
      <c r="A13" s="103">
        <v>1</v>
      </c>
      <c r="B13" s="104" t="s">
        <v>69</v>
      </c>
      <c r="C13" s="105">
        <v>45532</v>
      </c>
      <c r="D13" s="106">
        <f t="shared" si="6"/>
        <v>889390</v>
      </c>
      <c r="E13" s="107">
        <f t="shared" si="0"/>
        <v>8893.9</v>
      </c>
      <c r="F13" s="106">
        <f t="shared" si="1"/>
        <v>74827.048869999999</v>
      </c>
      <c r="G13" s="108">
        <f>5000*1.25*1.25*1.28*1.4*1.72*1.65*1.1806*1.1645*1.2*1.2*1.1</f>
        <v>86524.256441145611</v>
      </c>
      <c r="H13" s="109">
        <f t="shared" si="2"/>
        <v>1059635.2053111456</v>
      </c>
      <c r="I13" s="110">
        <f t="shared" si="3"/>
        <v>212007.74879729841</v>
      </c>
      <c r="J13" s="111">
        <f t="shared" si="7"/>
        <v>97797.886574999997</v>
      </c>
      <c r="K13" s="112">
        <f t="shared" si="4"/>
        <v>945425.34308884724</v>
      </c>
      <c r="L13" s="113">
        <v>4</v>
      </c>
      <c r="M13" s="111">
        <f t="shared" si="5"/>
        <v>472712.67154442362</v>
      </c>
      <c r="N13" s="114">
        <f>+M13*1.0833/30*29</f>
        <v>495019.98251460498</v>
      </c>
      <c r="O13" s="115">
        <v>1</v>
      </c>
      <c r="P13" s="110"/>
      <c r="Q13" s="161">
        <f>258000+46500+500</f>
        <v>305000</v>
      </c>
      <c r="R13" s="110">
        <f>100000+90019.98</f>
        <v>190019.97999999998</v>
      </c>
      <c r="S13" s="78">
        <f>+N13-P13-Q13-R13</f>
        <v>2.5146050029434264E-3</v>
      </c>
      <c r="T13" s="6">
        <f>+S13/T8</f>
        <v>9.8672567248920734E-2</v>
      </c>
      <c r="U13" s="24">
        <f>+T13*U8</f>
        <v>169716.81566814365</v>
      </c>
      <c r="V13" s="116"/>
      <c r="W13">
        <v>305000</v>
      </c>
    </row>
    <row r="14" spans="1:23" ht="15" customHeight="1" x14ac:dyDescent="0.25">
      <c r="A14" s="103">
        <v>5</v>
      </c>
      <c r="B14" s="104" t="s">
        <v>70</v>
      </c>
      <c r="C14" s="105">
        <v>43973</v>
      </c>
      <c r="D14" s="106">
        <f t="shared" si="6"/>
        <v>889390</v>
      </c>
      <c r="E14" s="107">
        <f t="shared" si="0"/>
        <v>44469.5</v>
      </c>
      <c r="F14" s="106">
        <f t="shared" si="1"/>
        <v>77790.496350000001</v>
      </c>
      <c r="G14" s="108">
        <f>+G12</f>
        <v>0</v>
      </c>
      <c r="H14" s="109">
        <f t="shared" si="2"/>
        <v>1011649.99635</v>
      </c>
      <c r="I14" s="110">
        <f t="shared" si="3"/>
        <v>202650.63304987503</v>
      </c>
      <c r="J14" s="111">
        <f t="shared" si="7"/>
        <v>97797.886574999997</v>
      </c>
      <c r="K14" s="112">
        <f t="shared" si="4"/>
        <v>906797.24987512501</v>
      </c>
      <c r="L14" s="113">
        <v>8</v>
      </c>
      <c r="M14" s="111">
        <f t="shared" si="5"/>
        <v>906797.24987512501</v>
      </c>
      <c r="N14" s="114">
        <f>+M14*1.0833/30*29</f>
        <v>949589.01209673204</v>
      </c>
      <c r="O14" s="115">
        <v>1</v>
      </c>
      <c r="P14" s="110"/>
      <c r="Q14" s="110">
        <v>580000</v>
      </c>
      <c r="R14" s="110">
        <f>100000+269589.01</f>
        <v>369589.01</v>
      </c>
      <c r="S14" s="78">
        <f>+N14-P14-Q14-R14</f>
        <v>2.0967320306226611E-3</v>
      </c>
      <c r="T14" s="6">
        <f>+S14/T8</f>
        <v>8.2275320399191637E-2</v>
      </c>
      <c r="U14" s="24">
        <f>+T14*U8</f>
        <v>141513.55108660963</v>
      </c>
      <c r="V14" s="116"/>
      <c r="W14">
        <v>580000</v>
      </c>
    </row>
    <row r="15" spans="1:23" ht="15" customHeight="1" x14ac:dyDescent="0.25">
      <c r="A15" s="103">
        <v>6</v>
      </c>
      <c r="B15" s="104" t="s">
        <v>71</v>
      </c>
      <c r="C15" s="105">
        <v>43846</v>
      </c>
      <c r="D15" s="106">
        <f t="shared" si="6"/>
        <v>889390</v>
      </c>
      <c r="E15" s="107">
        <f t="shared" si="0"/>
        <v>53363.4</v>
      </c>
      <c r="F15" s="106">
        <f>+(D15+E15)*8.33/100*0</f>
        <v>0</v>
      </c>
      <c r="G15" s="108">
        <f t="shared" ref="G15:G27" si="8">+G14</f>
        <v>0</v>
      </c>
      <c r="H15" s="109">
        <f t="shared" si="2"/>
        <v>942753.4</v>
      </c>
      <c r="I15" s="110">
        <f t="shared" si="3"/>
        <v>189215.79676162501</v>
      </c>
      <c r="J15" s="111">
        <f t="shared" si="7"/>
        <v>97797.886574999997</v>
      </c>
      <c r="K15" s="112">
        <f t="shared" si="4"/>
        <v>851335.48981337505</v>
      </c>
      <c r="L15" s="113">
        <v>8</v>
      </c>
      <c r="M15" s="111">
        <f t="shared" si="5"/>
        <v>851335.48981337505</v>
      </c>
      <c r="N15" s="114">
        <f>+M15*1.0833/30*27</f>
        <v>830026.56250334613</v>
      </c>
      <c r="O15" s="115">
        <v>3</v>
      </c>
      <c r="P15" s="110"/>
      <c r="Q15" s="110">
        <v>507000</v>
      </c>
      <c r="R15" s="110">
        <f>100000+223026.56</f>
        <v>323026.56</v>
      </c>
      <c r="S15" s="78">
        <f>+N15-P15-Q15-R15</f>
        <v>2.503346127923578E-3</v>
      </c>
      <c r="T15" s="6">
        <f>+S15/T8</f>
        <v>9.8230771379890489E-2</v>
      </c>
      <c r="U15" s="24">
        <f>+T15*U8</f>
        <v>168956.92677341163</v>
      </c>
      <c r="V15" s="116"/>
      <c r="W15">
        <v>507000</v>
      </c>
    </row>
    <row r="16" spans="1:23" ht="15" customHeight="1" x14ac:dyDescent="0.25">
      <c r="A16" s="103">
        <v>5</v>
      </c>
      <c r="B16" s="104" t="s">
        <v>72</v>
      </c>
      <c r="C16" s="105">
        <v>43922</v>
      </c>
      <c r="D16" s="106">
        <f t="shared" si="6"/>
        <v>889390</v>
      </c>
      <c r="E16" s="107">
        <f t="shared" si="0"/>
        <v>44469.5</v>
      </c>
      <c r="F16" s="106">
        <f>+(D16+E16)*8.33/100</f>
        <v>77790.496350000001</v>
      </c>
      <c r="G16" s="108">
        <f t="shared" si="8"/>
        <v>0</v>
      </c>
      <c r="H16" s="109">
        <f t="shared" si="2"/>
        <v>1011649.99635</v>
      </c>
      <c r="I16" s="110">
        <f t="shared" si="3"/>
        <v>202650.63304987503</v>
      </c>
      <c r="J16" s="111">
        <f t="shared" si="7"/>
        <v>97797.886574999997</v>
      </c>
      <c r="K16" s="112">
        <f t="shared" si="4"/>
        <v>906797.24987512501</v>
      </c>
      <c r="L16" s="113">
        <v>8</v>
      </c>
      <c r="M16" s="111">
        <f t="shared" si="5"/>
        <v>906797.24987512501</v>
      </c>
      <c r="N16" s="114">
        <f>+M16*1.0833</f>
        <v>982333.46078972286</v>
      </c>
      <c r="O16" s="115"/>
      <c r="P16" s="110">
        <f>149161.53+510000</f>
        <v>659161.53</v>
      </c>
      <c r="Q16" s="110"/>
      <c r="R16" s="110">
        <f>100000+223171.93</f>
        <v>323171.93</v>
      </c>
      <c r="S16" s="78">
        <f>+(N16-P16-Q16-R16)*1</f>
        <v>7.8972283517941833E-4</v>
      </c>
      <c r="T16" s="6">
        <f>+S16/T8</f>
        <v>3.0988556640520862E-2</v>
      </c>
      <c r="U16" s="24">
        <f>+T16*U8*1</f>
        <v>53300.317421695887</v>
      </c>
      <c r="V16" s="154">
        <f>+M16/2*0</f>
        <v>0</v>
      </c>
      <c r="W16">
        <v>510000</v>
      </c>
    </row>
    <row r="17" spans="1:23" ht="15" customHeight="1" x14ac:dyDescent="0.25">
      <c r="A17" s="103">
        <v>4</v>
      </c>
      <c r="B17" s="104" t="s">
        <v>73</v>
      </c>
      <c r="C17" s="105">
        <v>44567</v>
      </c>
      <c r="D17" s="106">
        <f t="shared" si="6"/>
        <v>889390</v>
      </c>
      <c r="E17" s="107">
        <f t="shared" si="0"/>
        <v>35575.599999999999</v>
      </c>
      <c r="F17" s="106">
        <f>+(D17+E17)*8.33/100</f>
        <v>77049.634479999993</v>
      </c>
      <c r="G17" s="108">
        <f t="shared" si="8"/>
        <v>0</v>
      </c>
      <c r="H17" s="109">
        <f t="shared" si="2"/>
        <v>1002015.23448</v>
      </c>
      <c r="I17" s="110">
        <f t="shared" si="3"/>
        <v>200771.85448522502</v>
      </c>
      <c r="J17" s="111">
        <f t="shared" si="7"/>
        <v>97797.886574999997</v>
      </c>
      <c r="K17" s="112">
        <f t="shared" si="4"/>
        <v>899041.26656977495</v>
      </c>
      <c r="L17" s="113">
        <v>8</v>
      </c>
      <c r="M17" s="111">
        <f t="shared" si="5"/>
        <v>899041.26656977495</v>
      </c>
      <c r="N17" s="114">
        <f>+M17*1.0833</f>
        <v>973931.40407503711</v>
      </c>
      <c r="O17" s="115"/>
      <c r="P17" s="110">
        <f>+N35</f>
        <v>100000</v>
      </c>
      <c r="Q17" s="110">
        <v>535000</v>
      </c>
      <c r="R17" s="110">
        <f>100000+238931.4</f>
        <v>338931.4</v>
      </c>
      <c r="S17" s="78">
        <f>+N17-P17-Q17-R17</f>
        <v>4.075037082657218E-3</v>
      </c>
      <c r="T17" s="6">
        <f>+S17/T8</f>
        <v>0.15990359126370768</v>
      </c>
      <c r="U17" s="24">
        <f>+T17*U8</f>
        <v>275034.17697357718</v>
      </c>
      <c r="V17" s="116"/>
      <c r="W17">
        <v>535000</v>
      </c>
    </row>
    <row r="18" spans="1:23" ht="15" customHeight="1" x14ac:dyDescent="0.25">
      <c r="A18" s="103">
        <v>4</v>
      </c>
      <c r="B18" s="104" t="s">
        <v>91</v>
      </c>
      <c r="C18" s="105">
        <v>44567</v>
      </c>
      <c r="D18" s="106">
        <f t="shared" si="6"/>
        <v>889390</v>
      </c>
      <c r="E18" s="107">
        <f t="shared" si="0"/>
        <v>35575.599999999999</v>
      </c>
      <c r="F18" s="106">
        <f>+(D18+E18)*8.33/100*1</f>
        <v>77049.634479999993</v>
      </c>
      <c r="G18" s="108">
        <f t="shared" si="8"/>
        <v>0</v>
      </c>
      <c r="H18" s="109">
        <f t="shared" si="2"/>
        <v>1002015.23448</v>
      </c>
      <c r="I18" s="110">
        <f t="shared" si="3"/>
        <v>200771.85448522502</v>
      </c>
      <c r="J18" s="111">
        <f t="shared" si="7"/>
        <v>97797.886574999997</v>
      </c>
      <c r="K18" s="112">
        <f t="shared" si="4"/>
        <v>899041.26656977495</v>
      </c>
      <c r="L18" s="113">
        <v>8</v>
      </c>
      <c r="M18" s="111">
        <f t="shared" si="5"/>
        <v>899041.26656977495</v>
      </c>
      <c r="N18" s="114">
        <f>+M18*1.0833/30*30</f>
        <v>973931.40407503711</v>
      </c>
      <c r="O18" s="115"/>
      <c r="P18" s="110">
        <v>60000</v>
      </c>
      <c r="Q18" s="110">
        <v>560000</v>
      </c>
      <c r="R18" s="110">
        <f>100000+253931.4</f>
        <v>353931.4</v>
      </c>
      <c r="S18" s="78">
        <f>+N18-P18-Q18-R18</f>
        <v>4.075037082657218E-3</v>
      </c>
      <c r="T18" s="6">
        <f>+S18/T8</f>
        <v>0.15990359126370768</v>
      </c>
      <c r="U18" s="24">
        <f>+T18*U8</f>
        <v>275034.17697357718</v>
      </c>
      <c r="V18" s="116"/>
      <c r="W18">
        <v>560000</v>
      </c>
    </row>
    <row r="19" spans="1:23" ht="15" customHeight="1" x14ac:dyDescent="0.25">
      <c r="A19" s="103">
        <v>2</v>
      </c>
      <c r="B19" s="104" t="s">
        <v>74</v>
      </c>
      <c r="C19" s="105">
        <v>45194</v>
      </c>
      <c r="D19" s="106">
        <f>+D17</f>
        <v>889390</v>
      </c>
      <c r="E19" s="107">
        <f t="shared" si="0"/>
        <v>17787.8</v>
      </c>
      <c r="F19" s="106">
        <f>+(D19+E19)*8.33/100</f>
        <v>75567.910740000007</v>
      </c>
      <c r="G19" s="108">
        <f t="shared" si="8"/>
        <v>0</v>
      </c>
      <c r="H19" s="109">
        <f t="shared" si="2"/>
        <v>982745.71074000001</v>
      </c>
      <c r="I19" s="110">
        <f t="shared" si="3"/>
        <v>197014.29735592502</v>
      </c>
      <c r="J19" s="111">
        <f>+J17</f>
        <v>97797.886574999997</v>
      </c>
      <c r="K19" s="112">
        <f t="shared" si="4"/>
        <v>883529.29995907506</v>
      </c>
      <c r="L19" s="113">
        <v>6</v>
      </c>
      <c r="M19" s="111">
        <f t="shared" si="5"/>
        <v>662646.97496930626</v>
      </c>
      <c r="N19" s="114">
        <f>+M19*1.0833*0+957127.59/2*1+717845.17/2</f>
        <v>837486.38</v>
      </c>
      <c r="O19" s="115"/>
      <c r="P19" s="110">
        <f>81191.93+465000</f>
        <v>546191.92999999993</v>
      </c>
      <c r="Q19" s="110">
        <v>40221.730000000003</v>
      </c>
      <c r="R19" s="110">
        <f>100000+151072.72</f>
        <v>251072.72</v>
      </c>
      <c r="S19" s="78">
        <f>+(N19-P19-Q19-R19)*1</f>
        <v>5.8207660913467407E-11</v>
      </c>
      <c r="T19" s="6">
        <f>+S19/T8</f>
        <v>2.2840562749074051E-9</v>
      </c>
      <c r="U19" s="24">
        <f>+T19*U8</f>
        <v>3.9285767928407371E-3</v>
      </c>
      <c r="V19" s="154">
        <f>+M19/2*0</f>
        <v>0</v>
      </c>
      <c r="W19">
        <v>465000</v>
      </c>
    </row>
    <row r="20" spans="1:23" ht="15" customHeight="1" x14ac:dyDescent="0.25">
      <c r="A20" s="103">
        <v>0</v>
      </c>
      <c r="B20" s="104" t="s">
        <v>94</v>
      </c>
      <c r="C20" s="105">
        <v>45950</v>
      </c>
      <c r="D20" s="106">
        <f>+D18</f>
        <v>889390</v>
      </c>
      <c r="E20" s="107">
        <f t="shared" si="0"/>
        <v>0</v>
      </c>
      <c r="F20" s="106">
        <f>+(D20+E20)*8.33/100*1</f>
        <v>74086.187000000005</v>
      </c>
      <c r="G20" s="108">
        <f t="shared" si="8"/>
        <v>0</v>
      </c>
      <c r="H20" s="109">
        <f t="shared" si="2"/>
        <v>963476.18700000003</v>
      </c>
      <c r="I20" s="110">
        <f t="shared" si="3"/>
        <v>193256.74022662503</v>
      </c>
      <c r="J20" s="111">
        <f>+J18</f>
        <v>97797.886574999997</v>
      </c>
      <c r="K20" s="112">
        <f t="shared" si="4"/>
        <v>868017.33334837505</v>
      </c>
      <c r="L20" s="113">
        <v>4</v>
      </c>
      <c r="M20" s="111">
        <f t="shared" si="5"/>
        <v>434008.66667418752</v>
      </c>
      <c r="N20" s="114">
        <f>+M20*1.0833/30*29</f>
        <v>454489.53565454239</v>
      </c>
      <c r="O20" s="115">
        <v>1</v>
      </c>
      <c r="P20" s="110">
        <v>280000</v>
      </c>
      <c r="Q20" s="110">
        <v>174489.54</v>
      </c>
      <c r="R20" s="163"/>
      <c r="S20" s="78">
        <f>+N20-P20-Q20-R20</f>
        <v>-4.3454576225485653E-3</v>
      </c>
      <c r="T20" s="6">
        <f>+S20/T8</f>
        <v>-0.17051483592308161</v>
      </c>
      <c r="U20" s="24">
        <f>+T20*U8</f>
        <v>-293285.5177877004</v>
      </c>
      <c r="V20" s="116">
        <f>+M20/360*3*0</f>
        <v>0</v>
      </c>
      <c r="W20">
        <v>280000</v>
      </c>
    </row>
    <row r="21" spans="1:23" ht="15" customHeight="1" x14ac:dyDescent="0.25">
      <c r="A21" s="103">
        <v>1</v>
      </c>
      <c r="B21" s="104" t="s">
        <v>75</v>
      </c>
      <c r="C21" s="105">
        <v>45621</v>
      </c>
      <c r="D21" s="106">
        <f t="shared" ref="D21:D27" si="9">+D20</f>
        <v>889390</v>
      </c>
      <c r="E21" s="107">
        <f t="shared" si="0"/>
        <v>8893.9</v>
      </c>
      <c r="F21" s="106">
        <f>+(D21+E21)*8.33/100</f>
        <v>74827.048869999999</v>
      </c>
      <c r="G21" s="108">
        <f t="shared" si="8"/>
        <v>0</v>
      </c>
      <c r="H21" s="109">
        <f t="shared" si="2"/>
        <v>973110.94886999996</v>
      </c>
      <c r="I21" s="110">
        <f t="shared" si="3"/>
        <v>195135.51879127501</v>
      </c>
      <c r="J21" s="111">
        <f t="shared" ref="J21:J27" si="10">+J20</f>
        <v>97797.886574999997</v>
      </c>
      <c r="K21" s="112">
        <f t="shared" si="4"/>
        <v>875773.31665372499</v>
      </c>
      <c r="L21" s="113">
        <v>8</v>
      </c>
      <c r="M21" s="111">
        <f t="shared" si="5"/>
        <v>875773.31665372499</v>
      </c>
      <c r="N21" s="114">
        <f>+M21*1.0833</f>
        <v>948725.2339309802</v>
      </c>
      <c r="O21" s="115"/>
      <c r="P21" s="110"/>
      <c r="Q21" s="110">
        <v>580000</v>
      </c>
      <c r="R21" s="110">
        <f>100000+268725.23</f>
        <v>368725.23</v>
      </c>
      <c r="S21" s="78">
        <f>+N21-P21-Q21-R21</f>
        <v>3.9309802232310176E-3</v>
      </c>
      <c r="T21" s="6">
        <f>+S21/T8</f>
        <v>0.15425083063817738</v>
      </c>
      <c r="U21" s="24">
        <f>+T21*U8</f>
        <v>265311.42869766511</v>
      </c>
      <c r="V21" s="116">
        <f>+M21/2*0</f>
        <v>0</v>
      </c>
      <c r="W21">
        <v>580000</v>
      </c>
    </row>
    <row r="22" spans="1:23" ht="15" customHeight="1" x14ac:dyDescent="0.25">
      <c r="A22" s="103">
        <v>1</v>
      </c>
      <c r="B22" s="104" t="s">
        <v>76</v>
      </c>
      <c r="C22" s="105">
        <v>45643</v>
      </c>
      <c r="D22" s="106">
        <f t="shared" si="9"/>
        <v>889390</v>
      </c>
      <c r="E22" s="107">
        <f t="shared" si="0"/>
        <v>8893.9</v>
      </c>
      <c r="F22" s="106">
        <f>+(D22+E22)*8.33/100</f>
        <v>74827.048869999999</v>
      </c>
      <c r="G22" s="108">
        <f t="shared" si="8"/>
        <v>0</v>
      </c>
      <c r="H22" s="109">
        <f t="shared" si="2"/>
        <v>973110.94886999996</v>
      </c>
      <c r="I22" s="110">
        <f t="shared" si="3"/>
        <v>195135.51879127501</v>
      </c>
      <c r="J22" s="111">
        <f t="shared" si="10"/>
        <v>97797.886574999997</v>
      </c>
      <c r="K22" s="156">
        <f t="shared" si="4"/>
        <v>875773.31665372499</v>
      </c>
      <c r="L22" s="113">
        <v>5</v>
      </c>
      <c r="M22" s="111">
        <f t="shared" si="5"/>
        <v>547358.32290857809</v>
      </c>
      <c r="N22" s="114">
        <f>+(M22*1.0833/30*30*0+711543.93/2*1+592953.27/2)/30*29</f>
        <v>630506.9800000001</v>
      </c>
      <c r="O22" s="115">
        <v>1</v>
      </c>
      <c r="P22" s="110">
        <v>50000</v>
      </c>
      <c r="Q22" s="110">
        <v>355000</v>
      </c>
      <c r="R22" s="110">
        <f>100000+125506.98</f>
        <v>225506.97999999998</v>
      </c>
      <c r="S22" s="78">
        <f>+N22-P22-Q22-R22</f>
        <v>0</v>
      </c>
      <c r="T22" s="6">
        <f>+S22/T8</f>
        <v>0</v>
      </c>
      <c r="U22" s="24">
        <f>+T22*U8</f>
        <v>0</v>
      </c>
      <c r="V22" s="116"/>
      <c r="W22">
        <v>355000</v>
      </c>
    </row>
    <row r="23" spans="1:23" ht="15" customHeight="1" x14ac:dyDescent="0.25">
      <c r="A23" s="103">
        <v>1</v>
      </c>
      <c r="B23" s="104" t="s">
        <v>77</v>
      </c>
      <c r="C23" s="105">
        <v>45707</v>
      </c>
      <c r="D23" s="106">
        <f t="shared" si="9"/>
        <v>889390</v>
      </c>
      <c r="E23" s="107">
        <f t="shared" si="0"/>
        <v>8893.9</v>
      </c>
      <c r="F23" s="106">
        <f>+(D23+E23)*8.33/100</f>
        <v>74827.048869999999</v>
      </c>
      <c r="G23" s="108">
        <f t="shared" si="8"/>
        <v>0</v>
      </c>
      <c r="H23" s="109">
        <f t="shared" si="2"/>
        <v>973110.94886999996</v>
      </c>
      <c r="I23" s="110">
        <f t="shared" si="3"/>
        <v>195135.51879127501</v>
      </c>
      <c r="J23" s="111">
        <f t="shared" si="10"/>
        <v>97797.886574999997</v>
      </c>
      <c r="K23" s="156">
        <f t="shared" si="4"/>
        <v>875773.31665372499</v>
      </c>
      <c r="L23" s="113">
        <v>8</v>
      </c>
      <c r="M23" s="111">
        <f t="shared" si="5"/>
        <v>875773.31665372499</v>
      </c>
      <c r="N23" s="114">
        <f>+M23*1.0833/30*29</f>
        <v>917101.05946661416</v>
      </c>
      <c r="O23" s="115">
        <v>1</v>
      </c>
      <c r="P23" s="110"/>
      <c r="Q23" s="110">
        <v>560000</v>
      </c>
      <c r="R23" s="110">
        <f>100000+257101.06</f>
        <v>357101.06</v>
      </c>
      <c r="S23" s="78">
        <f>+N23-P23-Q23-R23</f>
        <v>-5.3338584257289767E-4</v>
      </c>
      <c r="T23" s="6">
        <f>+S23/T8</f>
        <v>-2.0929947391057732E-2</v>
      </c>
      <c r="U23" s="24">
        <f>+T23*U8</f>
        <v>-35999.509512619297</v>
      </c>
      <c r="V23" s="116"/>
      <c r="W23">
        <v>560000</v>
      </c>
    </row>
    <row r="24" spans="1:23" ht="15" customHeight="1" x14ac:dyDescent="0.25">
      <c r="A24" s="103">
        <v>1</v>
      </c>
      <c r="B24" s="104" t="s">
        <v>78</v>
      </c>
      <c r="C24" s="105">
        <v>45705</v>
      </c>
      <c r="D24" s="106">
        <f t="shared" si="9"/>
        <v>889390</v>
      </c>
      <c r="E24" s="107">
        <f t="shared" si="0"/>
        <v>8893.9</v>
      </c>
      <c r="F24" s="106">
        <f>+(D24+E24)*8.33/100</f>
        <v>74827.048869999999</v>
      </c>
      <c r="G24" s="108">
        <f t="shared" si="8"/>
        <v>0</v>
      </c>
      <c r="H24" s="109">
        <f t="shared" si="2"/>
        <v>973110.94886999996</v>
      </c>
      <c r="I24" s="110">
        <f t="shared" si="3"/>
        <v>195135.51879127501</v>
      </c>
      <c r="J24" s="111">
        <f t="shared" si="10"/>
        <v>97797.886574999997</v>
      </c>
      <c r="K24" s="156">
        <f t="shared" si="4"/>
        <v>875773.31665372499</v>
      </c>
      <c r="L24" s="113">
        <v>8</v>
      </c>
      <c r="M24" s="111">
        <f t="shared" si="5"/>
        <v>875773.31665372499</v>
      </c>
      <c r="N24" s="114">
        <f>+M24*1.0833</f>
        <v>948725.2339309802</v>
      </c>
      <c r="O24" s="115"/>
      <c r="P24" s="110"/>
      <c r="Q24" s="110">
        <v>580000</v>
      </c>
      <c r="R24" s="110">
        <f>100000+268725.23</f>
        <v>368725.23</v>
      </c>
      <c r="S24" s="78">
        <f>+(N24-P24-Q24-R24)*1</f>
        <v>3.9309802232310176E-3</v>
      </c>
      <c r="T24" s="6">
        <f>+S24/T8</f>
        <v>0.15425083063817738</v>
      </c>
      <c r="U24" s="24">
        <f>+T24*U8</f>
        <v>265311.42869766511</v>
      </c>
      <c r="V24" s="154">
        <f>+M24/2*0</f>
        <v>0</v>
      </c>
      <c r="W24">
        <v>580000</v>
      </c>
    </row>
    <row r="25" spans="1:23" ht="15" customHeight="1" x14ac:dyDescent="0.25">
      <c r="A25" s="103">
        <v>0</v>
      </c>
      <c r="B25" s="104" t="s">
        <v>79</v>
      </c>
      <c r="C25" s="105">
        <v>45775</v>
      </c>
      <c r="D25" s="106">
        <f t="shared" si="9"/>
        <v>889390</v>
      </c>
      <c r="E25" s="107">
        <f t="shared" si="0"/>
        <v>0</v>
      </c>
      <c r="F25" s="106">
        <f>+(D25+E25)*8.33/100</f>
        <v>74086.187000000005</v>
      </c>
      <c r="G25" s="108">
        <f t="shared" si="8"/>
        <v>0</v>
      </c>
      <c r="H25" s="109">
        <f t="shared" si="2"/>
        <v>963476.18700000003</v>
      </c>
      <c r="I25" s="110">
        <f>+I24</f>
        <v>195135.51879127501</v>
      </c>
      <c r="J25" s="111">
        <f t="shared" si="10"/>
        <v>97797.886574999997</v>
      </c>
      <c r="K25" s="156">
        <f t="shared" si="4"/>
        <v>866138.55478372506</v>
      </c>
      <c r="L25" s="113">
        <v>8</v>
      </c>
      <c r="M25" s="111">
        <f t="shared" si="5"/>
        <v>866138.55478372506</v>
      </c>
      <c r="N25" s="114">
        <f>+M25*1.0833/30*29</f>
        <v>907011.63318396895</v>
      </c>
      <c r="O25" s="115">
        <v>1</v>
      </c>
      <c r="P25" s="110"/>
      <c r="Q25" s="110">
        <v>555000</v>
      </c>
      <c r="R25" s="110">
        <f>100000+252011.63</f>
        <v>352011.63</v>
      </c>
      <c r="S25" s="78">
        <f>+N25-P25-Q25-R25</f>
        <v>3.1839689472690225E-3</v>
      </c>
      <c r="T25" s="6">
        <f>+S25/T8</f>
        <v>0.12493826652700181</v>
      </c>
      <c r="U25" s="24">
        <f>+T25*U8</f>
        <v>214893.81842644312</v>
      </c>
      <c r="V25" s="116">
        <f>+M25/2</f>
        <v>433069.27739186253</v>
      </c>
      <c r="W25">
        <v>555000</v>
      </c>
    </row>
    <row r="26" spans="1:23" ht="15" customHeight="1" x14ac:dyDescent="0.25">
      <c r="A26" s="103">
        <v>0</v>
      </c>
      <c r="B26" s="104" t="s">
        <v>80</v>
      </c>
      <c r="C26" s="105">
        <v>45943</v>
      </c>
      <c r="D26" s="106">
        <f t="shared" si="9"/>
        <v>889390</v>
      </c>
      <c r="E26" s="107">
        <f t="shared" si="0"/>
        <v>0</v>
      </c>
      <c r="F26" s="106">
        <f>+(D26+E26)*8.33/100*1</f>
        <v>74086.187000000005</v>
      </c>
      <c r="G26" s="108">
        <f t="shared" si="8"/>
        <v>0</v>
      </c>
      <c r="H26" s="109">
        <f t="shared" si="2"/>
        <v>963476.18700000003</v>
      </c>
      <c r="I26" s="110">
        <f>+I25</f>
        <v>195135.51879127501</v>
      </c>
      <c r="J26" s="111">
        <f t="shared" si="10"/>
        <v>97797.886574999997</v>
      </c>
      <c r="K26" s="156">
        <f t="shared" si="4"/>
        <v>866138.55478372506</v>
      </c>
      <c r="L26" s="113">
        <v>4</v>
      </c>
      <c r="M26" s="111">
        <f t="shared" si="5"/>
        <v>433069.27739186253</v>
      </c>
      <c r="N26" s="114">
        <f>+M26*1.0833/30*29</f>
        <v>453505.81659198448</v>
      </c>
      <c r="O26" s="115">
        <v>1</v>
      </c>
      <c r="P26" s="110">
        <v>50000</v>
      </c>
      <c r="Q26" s="110">
        <f>219000+28000</f>
        <v>247000</v>
      </c>
      <c r="R26" s="110">
        <f>100000+56505.82</f>
        <v>156505.82</v>
      </c>
      <c r="S26" s="78">
        <f>+N26-P26-Q26-R26</f>
        <v>-3.4080155310221016E-3</v>
      </c>
      <c r="T26" s="6">
        <f>+S26/T8</f>
        <v>-0.13372980697824141</v>
      </c>
      <c r="U26" s="24">
        <f>+T26*U8</f>
        <v>-230015.26800257523</v>
      </c>
      <c r="V26" s="116">
        <f>+M26/360*4*0</f>
        <v>0</v>
      </c>
      <c r="W26">
        <v>247000</v>
      </c>
    </row>
    <row r="27" spans="1:23" ht="15" customHeight="1" x14ac:dyDescent="0.25">
      <c r="A27" s="103">
        <v>0</v>
      </c>
      <c r="B27" s="104" t="s">
        <v>81</v>
      </c>
      <c r="C27" s="105">
        <v>45962</v>
      </c>
      <c r="D27" s="106">
        <f t="shared" si="9"/>
        <v>889390</v>
      </c>
      <c r="E27" s="107">
        <f t="shared" si="0"/>
        <v>0</v>
      </c>
      <c r="F27" s="106">
        <f>+(D27+E27)*8.33/100</f>
        <v>74086.187000000005</v>
      </c>
      <c r="G27" s="108">
        <f t="shared" si="8"/>
        <v>0</v>
      </c>
      <c r="H27" s="109">
        <f t="shared" si="2"/>
        <v>963476.18700000003</v>
      </c>
      <c r="I27" s="110">
        <f>+I26</f>
        <v>195135.51879127501</v>
      </c>
      <c r="J27" s="111">
        <f t="shared" si="10"/>
        <v>97797.886574999997</v>
      </c>
      <c r="K27" s="156">
        <f t="shared" si="4"/>
        <v>866138.55478372506</v>
      </c>
      <c r="L27" s="113">
        <v>3</v>
      </c>
      <c r="M27" s="111">
        <f t="shared" si="5"/>
        <v>324801.95804389688</v>
      </c>
      <c r="N27" s="114">
        <f>+M27*1.0833</f>
        <v>351857.96114895347</v>
      </c>
      <c r="O27" s="115"/>
      <c r="P27" s="110"/>
      <c r="Q27" s="110">
        <v>215000</v>
      </c>
      <c r="R27" s="110">
        <f>100000+36857.96</f>
        <v>136857.96</v>
      </c>
      <c r="S27" s="78">
        <f>+N27-P27-Q27-R27</f>
        <v>1.1489534808788449E-3</v>
      </c>
      <c r="T27" s="6">
        <f>+S27/T8</f>
        <v>4.5084691025109674E-2</v>
      </c>
      <c r="U27" s="24">
        <f>+T27*U8</f>
        <v>77545.668563188636</v>
      </c>
      <c r="V27" s="116">
        <f>+M27/360*3*0</f>
        <v>0</v>
      </c>
      <c r="W27">
        <v>215000</v>
      </c>
    </row>
    <row r="28" spans="1:23" ht="15" customHeight="1" x14ac:dyDescent="0.25">
      <c r="A28" s="103">
        <v>3</v>
      </c>
      <c r="B28" s="104" t="s">
        <v>82</v>
      </c>
      <c r="C28" s="105">
        <v>44927</v>
      </c>
      <c r="D28" s="106">
        <f>+D18</f>
        <v>889390</v>
      </c>
      <c r="E28" s="107">
        <f t="shared" si="0"/>
        <v>26681.7</v>
      </c>
      <c r="F28" s="106">
        <f>+(D28+E28)*8.33/100*1</f>
        <v>76308.77261</v>
      </c>
      <c r="G28" s="108">
        <f>+G25</f>
        <v>0</v>
      </c>
      <c r="H28" s="109">
        <f t="shared" si="2"/>
        <v>992380.47260999994</v>
      </c>
      <c r="I28" s="110">
        <f>+H28*0.195+J28*0.055</f>
        <v>198893.07592057501</v>
      </c>
      <c r="J28" s="111">
        <f>+J18</f>
        <v>97797.886574999997</v>
      </c>
      <c r="K28" s="156">
        <f t="shared" si="4"/>
        <v>891285.283264425</v>
      </c>
      <c r="L28" s="113">
        <v>4</v>
      </c>
      <c r="M28" s="111">
        <f t="shared" si="5"/>
        <v>445642.6416322125</v>
      </c>
      <c r="N28" s="114">
        <f>+M28*1.0833/30*30</f>
        <v>482764.67368017579</v>
      </c>
      <c r="O28" s="115"/>
      <c r="P28" s="110"/>
      <c r="Q28" s="110">
        <v>295000</v>
      </c>
      <c r="R28" s="110">
        <f>100000+87764.67</f>
        <v>187764.66999999998</v>
      </c>
      <c r="S28" s="78">
        <f>+(N28-P28-Q28-R28)*1</f>
        <v>3.6801758105866611E-3</v>
      </c>
      <c r="T28" s="6">
        <f>+S28/T8</f>
        <v>0.14440931865358794</v>
      </c>
      <c r="U28" s="24">
        <f>+T28*U8</f>
        <v>248384.02808417127</v>
      </c>
      <c r="V28" s="116"/>
      <c r="W28">
        <v>295000</v>
      </c>
    </row>
    <row r="29" spans="1:23" ht="24" customHeight="1" x14ac:dyDescent="0.25">
      <c r="A29" s="121">
        <v>20</v>
      </c>
      <c r="K29" s="122">
        <f>SUM(K9:K28)</f>
        <v>17919575.412326768</v>
      </c>
      <c r="M29" s="123">
        <f>SUM(M9:M28)</f>
        <v>14570719.656408405</v>
      </c>
      <c r="N29" s="124">
        <f>SUM(N9:N28)</f>
        <v>15705405.325484337</v>
      </c>
      <c r="O29" s="125"/>
      <c r="P29" s="126">
        <f t="shared" ref="P29:U29" si="11">SUM(P9:P28)</f>
        <v>2212241.3899999997</v>
      </c>
      <c r="Q29" s="126">
        <f t="shared" si="11"/>
        <v>7988711.2700000005</v>
      </c>
      <c r="R29" s="126">
        <f t="shared" si="11"/>
        <v>5504452.6400000006</v>
      </c>
      <c r="S29" s="127">
        <f t="shared" si="11"/>
        <v>2.5484337471425533E-2</v>
      </c>
      <c r="T29" s="128">
        <f t="shared" si="11"/>
        <v>1</v>
      </c>
      <c r="U29" s="101">
        <f t="shared" si="11"/>
        <v>1719999.9999999998</v>
      </c>
      <c r="V29" s="129">
        <f>SUM(V9:V27)</f>
        <v>921369.82720350008</v>
      </c>
    </row>
    <row r="30" spans="1:23" ht="15" customHeight="1" x14ac:dyDescent="0.25">
      <c r="A30" s="1"/>
      <c r="C30" s="2" t="s">
        <v>83</v>
      </c>
      <c r="D30" s="3">
        <v>46082</v>
      </c>
      <c r="E30" s="4"/>
      <c r="F30" s="5"/>
      <c r="M30" s="6"/>
      <c r="N30" s="6"/>
      <c r="O30" s="6"/>
      <c r="P30" s="6"/>
      <c r="Q30" s="24"/>
      <c r="R30" s="15"/>
      <c r="S30" s="25">
        <f>+S29/2</f>
        <v>1.2742168735712767E-2</v>
      </c>
    </row>
    <row r="31" spans="1:23" ht="15" customHeight="1" x14ac:dyDescent="0.25">
      <c r="A31" s="1"/>
      <c r="B31" s="8"/>
      <c r="C31" s="9" t="s">
        <v>0</v>
      </c>
      <c r="D31" s="130">
        <v>52397</v>
      </c>
      <c r="E31" s="4"/>
      <c r="F31" s="16"/>
      <c r="G31" s="16"/>
      <c r="H31" s="16"/>
      <c r="I31" s="16"/>
      <c r="J31" s="16"/>
      <c r="K31" s="15"/>
      <c r="L31" s="16"/>
      <c r="M31" s="16"/>
      <c r="N31" s="131">
        <f>+N30-N29</f>
        <v>-15705405.325484337</v>
      </c>
      <c r="O31" s="131"/>
      <c r="P31" s="15"/>
    </row>
    <row r="32" spans="1:23" ht="15" customHeight="1" x14ac:dyDescent="0.25">
      <c r="A32" s="1"/>
      <c r="B32" s="1"/>
      <c r="C32" s="19" t="s">
        <v>3</v>
      </c>
      <c r="D32" s="132">
        <v>40000</v>
      </c>
      <c r="E32" s="4"/>
      <c r="K32" s="24"/>
    </row>
    <row r="33" spans="1:21" ht="15" customHeight="1" x14ac:dyDescent="0.25">
      <c r="A33" s="1"/>
      <c r="B33" s="1"/>
      <c r="C33" s="19" t="s">
        <v>5</v>
      </c>
      <c r="D33" s="132">
        <v>99263.49</v>
      </c>
      <c r="E33" s="4"/>
      <c r="F33" s="133"/>
      <c r="M33" s="29" t="s">
        <v>8</v>
      </c>
      <c r="N33" s="30">
        <v>65970.33</v>
      </c>
      <c r="O33" s="134"/>
      <c r="P33" s="6"/>
      <c r="Q33" s="6"/>
      <c r="R33" s="24"/>
      <c r="S33" s="25">
        <f>351857.96-215000</f>
        <v>136857.96000000002</v>
      </c>
    </row>
    <row r="34" spans="1:21" ht="15" customHeight="1" x14ac:dyDescent="0.25">
      <c r="A34" s="1"/>
      <c r="B34" s="1"/>
      <c r="C34" s="19" t="s">
        <v>10</v>
      </c>
      <c r="D34" s="132">
        <v>0</v>
      </c>
      <c r="E34" s="4"/>
      <c r="M34" s="6"/>
      <c r="P34" s="6"/>
      <c r="R34" s="24"/>
      <c r="S34" s="7"/>
      <c r="U34">
        <f>1408000+5250000+1587500+1170000+48000-430000+200000+65000+35000+45100</f>
        <v>9378600</v>
      </c>
    </row>
    <row r="35" spans="1:21" ht="15" customHeight="1" x14ac:dyDescent="0.25">
      <c r="A35" s="1"/>
      <c r="B35" s="1"/>
      <c r="C35" s="19" t="s">
        <v>13</v>
      </c>
      <c r="D35" s="132">
        <v>28624</v>
      </c>
      <c r="E35" s="4"/>
      <c r="M35" s="29" t="s">
        <v>85</v>
      </c>
      <c r="N35" s="30">
        <v>100000</v>
      </c>
      <c r="O35" s="134"/>
      <c r="P35" s="6"/>
    </row>
    <row r="36" spans="1:21" ht="15" customHeight="1" x14ac:dyDescent="0.25">
      <c r="A36" s="1"/>
      <c r="B36" s="1"/>
      <c r="C36" s="19" t="s">
        <v>16</v>
      </c>
      <c r="D36" s="132">
        <v>0</v>
      </c>
      <c r="E36" s="4"/>
      <c r="M36" s="6"/>
      <c r="P36" s="6"/>
      <c r="S36" s="7"/>
      <c r="U36">
        <f>310000+14000+30000</f>
        <v>354000</v>
      </c>
    </row>
    <row r="37" spans="1:21" ht="15" customHeight="1" x14ac:dyDescent="0.25">
      <c r="A37" s="1"/>
      <c r="B37" s="1"/>
      <c r="C37" s="19" t="s">
        <v>20</v>
      </c>
      <c r="D37" s="132">
        <v>0</v>
      </c>
      <c r="E37" s="4"/>
    </row>
    <row r="38" spans="1:21" ht="15" customHeight="1" x14ac:dyDescent="0.25">
      <c r="A38" s="1"/>
      <c r="B38" s="1"/>
      <c r="C38" s="19" t="s">
        <v>24</v>
      </c>
      <c r="D38" s="132">
        <v>19550.71</v>
      </c>
      <c r="E38" s="4"/>
      <c r="M38" s="6"/>
      <c r="P38" s="6"/>
      <c r="S38" s="7"/>
      <c r="U38">
        <f>9000000+354000</f>
        <v>9354000</v>
      </c>
    </row>
    <row r="39" spans="1:21" ht="15" customHeight="1" x14ac:dyDescent="0.25">
      <c r="A39" s="1"/>
      <c r="B39" s="1"/>
      <c r="C39" s="19" t="s">
        <v>29</v>
      </c>
      <c r="D39" s="132">
        <v>50000</v>
      </c>
      <c r="E39" s="4"/>
    </row>
    <row r="40" spans="1:21" ht="15" customHeight="1" x14ac:dyDescent="0.25">
      <c r="A40" s="1"/>
      <c r="B40" s="1"/>
      <c r="C40" s="19" t="s">
        <v>89</v>
      </c>
      <c r="D40" s="132"/>
      <c r="E40" s="4"/>
      <c r="M40" s="6"/>
      <c r="P40" s="6"/>
      <c r="S40" s="7"/>
      <c r="U40">
        <f>9378600-9333500</f>
        <v>45100</v>
      </c>
    </row>
    <row r="41" spans="1:21" ht="15" customHeight="1" x14ac:dyDescent="0.25">
      <c r="A41" s="1"/>
      <c r="B41" s="1"/>
      <c r="C41" s="53"/>
      <c r="D41" s="54">
        <f>SUM(D31:D40)</f>
        <v>289835.19999999995</v>
      </c>
      <c r="E41" s="21"/>
    </row>
    <row r="42" spans="1:21" ht="15" customHeight="1" x14ac:dyDescent="0.25">
      <c r="A42" s="1"/>
      <c r="B42" s="1"/>
      <c r="C42" s="59" t="s">
        <v>39</v>
      </c>
      <c r="D42" s="60">
        <f>+D41/2</f>
        <v>144917.59999999998</v>
      </c>
      <c r="E42" s="21"/>
    </row>
    <row r="43" spans="1:21" ht="15" customHeight="1" x14ac:dyDescent="0.25">
      <c r="A43" s="1"/>
      <c r="B43" s="36"/>
      <c r="C43" s="59" t="s">
        <v>41</v>
      </c>
      <c r="D43" s="61">
        <v>0</v>
      </c>
      <c r="E43" s="4"/>
    </row>
    <row r="44" spans="1:21" ht="15" customHeight="1" x14ac:dyDescent="0.25">
      <c r="A44" s="1"/>
      <c r="B44" s="1"/>
      <c r="C44" s="59" t="s">
        <v>42</v>
      </c>
      <c r="D44" s="61">
        <f>13000*3*4</f>
        <v>156000</v>
      </c>
      <c r="E44" s="4"/>
    </row>
    <row r="45" spans="1:21" ht="15" customHeight="1" x14ac:dyDescent="0.25">
      <c r="A45" s="65"/>
      <c r="B45" s="65"/>
      <c r="C45" s="66" t="s">
        <v>44</v>
      </c>
      <c r="D45" s="67">
        <f>+D42+D44+D43</f>
        <v>300917.59999999998</v>
      </c>
      <c r="E45" s="68"/>
      <c r="F45" s="69"/>
      <c r="G45" s="69"/>
      <c r="H45" s="69"/>
      <c r="I45" s="69"/>
      <c r="J45" s="69"/>
      <c r="K45" s="69"/>
      <c r="L45" s="69"/>
      <c r="M45" s="70"/>
      <c r="N45" s="69"/>
      <c r="O45" s="69"/>
      <c r="P45" s="70"/>
      <c r="Q45" s="69"/>
      <c r="R45" s="69"/>
      <c r="S45" s="71"/>
    </row>
    <row r="46" spans="1:21" ht="15.75" customHeight="1" x14ac:dyDescent="0.25"/>
    <row r="47" spans="1:21" ht="15.75" customHeight="1" x14ac:dyDescent="0.25"/>
    <row r="48" spans="1:21" ht="15.75" customHeight="1" x14ac:dyDescent="0.25"/>
    <row r="49" spans="18:18" ht="15.75" customHeight="1" x14ac:dyDescent="0.25"/>
    <row r="50" spans="18:18" ht="15.75" customHeight="1" x14ac:dyDescent="0.25"/>
    <row r="51" spans="18:18" ht="15.75" customHeight="1" x14ac:dyDescent="0.25"/>
    <row r="52" spans="18:18" ht="15.75" customHeight="1" x14ac:dyDescent="0.25"/>
    <row r="53" spans="18:18" ht="15.75" customHeight="1" x14ac:dyDescent="0.25"/>
    <row r="54" spans="18:18" ht="15" customHeight="1" x14ac:dyDescent="0.25">
      <c r="R54">
        <v>269600</v>
      </c>
    </row>
    <row r="55" spans="18:18" ht="15.75" customHeight="1" x14ac:dyDescent="0.25"/>
    <row r="56" spans="18:18" ht="15.75" customHeight="1" x14ac:dyDescent="0.25"/>
    <row r="57" spans="18:18" ht="15.75" customHeight="1" x14ac:dyDescent="0.25"/>
    <row r="58" spans="18:18" ht="15.75" customHeight="1" x14ac:dyDescent="0.25"/>
    <row r="59" spans="18:18" ht="15.75" customHeight="1" x14ac:dyDescent="0.25"/>
    <row r="60" spans="18:18" ht="15.75" customHeight="1" x14ac:dyDescent="0.25"/>
    <row r="61" spans="18:18" ht="15.75" customHeight="1" x14ac:dyDescent="0.25"/>
    <row r="62" spans="18:18" ht="15.75" customHeight="1" x14ac:dyDescent="0.25"/>
    <row r="63" spans="18:18" ht="15.75" customHeight="1" x14ac:dyDescent="0.25"/>
    <row r="64" spans="18:1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5:N5"/>
  </mergeCells>
  <pageMargins left="0.15763888888888899" right="0.15763888888888899" top="7.8472222222222193E-2" bottom="0" header="0.511811023622047" footer="0.511811023622047"/>
  <pageSetup paperSize="9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V1000"/>
  <sheetViews>
    <sheetView zoomScaleNormal="100"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x14ac:dyDescent="0.25"/>
  <cols>
    <col min="1" max="1" width="3.140625" customWidth="1"/>
    <col min="2" max="2" width="9.5703125" customWidth="1"/>
    <col min="3" max="3" width="20" customWidth="1"/>
    <col min="5" max="5" width="14.7109375" customWidth="1"/>
    <col min="6" max="6" width="12.85546875" customWidth="1"/>
    <col min="7" max="7" width="13.140625" customWidth="1"/>
    <col min="8" max="8" width="13.42578125" customWidth="1"/>
    <col min="9" max="9" width="14" customWidth="1"/>
    <col min="10" max="10" width="14.140625" customWidth="1"/>
    <col min="11" max="11" width="15.7109375" customWidth="1"/>
    <col min="12" max="12" width="14.28515625" customWidth="1"/>
    <col min="13" max="13" width="13.7109375" customWidth="1"/>
    <col min="14" max="14" width="18.28515625" customWidth="1"/>
    <col min="15" max="15" width="7.42578125" customWidth="1"/>
    <col min="16" max="16" width="20.5703125" customWidth="1"/>
    <col min="17" max="17" width="17" customWidth="1"/>
    <col min="18" max="18" width="18" customWidth="1"/>
    <col min="19" max="19" width="28.7109375" customWidth="1"/>
    <col min="20" max="20" width="17.85546875" customWidth="1"/>
    <col min="21" max="21" width="20.5703125" customWidth="1"/>
    <col min="22" max="22" width="16" customWidth="1"/>
    <col min="23" max="26" width="11.7109375" customWidth="1"/>
  </cols>
  <sheetData>
    <row r="3" spans="1:22" ht="15" customHeight="1" x14ac:dyDescent="0.25">
      <c r="D3" s="72">
        <f>+D4/48*40</f>
        <v>889390</v>
      </c>
      <c r="E3" s="73">
        <f>+D3*A8*0.01*0</f>
        <v>0</v>
      </c>
      <c r="F3" s="72">
        <f>+(D3+E3)*8.33/100</f>
        <v>74086.187000000005</v>
      </c>
      <c r="G3" s="74"/>
      <c r="H3" s="72">
        <f>+D3+E3+F3+G3</f>
        <v>963476.18700000003</v>
      </c>
      <c r="I3" s="75">
        <f>+H3*0.195+J3*0.055</f>
        <v>193256.74022662503</v>
      </c>
      <c r="J3" s="76">
        <f>J4*1.0833/48*40</f>
        <v>97797.886574999997</v>
      </c>
      <c r="K3" s="77">
        <f>+H3-I3+J3</f>
        <v>868017.33334837505</v>
      </c>
    </row>
    <row r="4" spans="1:22" ht="15" customHeight="1" x14ac:dyDescent="0.25">
      <c r="C4" s="79" t="s">
        <v>46</v>
      </c>
      <c r="D4" s="72">
        <f>+C7</f>
        <v>1067268</v>
      </c>
      <c r="E4" s="73">
        <v>0</v>
      </c>
      <c r="F4" s="72">
        <f>+(D4+E4)*8.33/100</f>
        <v>88903.424399999989</v>
      </c>
      <c r="G4" s="80">
        <v>0</v>
      </c>
      <c r="H4" s="72">
        <f>+D4+E4+F4+G4</f>
        <v>1156171.4243999999</v>
      </c>
      <c r="I4" s="75">
        <f>+H4*0.195+J4*0.055</f>
        <v>231411.75925799998</v>
      </c>
      <c r="J4" s="76">
        <f>(40000+60000)*1.083333</f>
        <v>108333.3</v>
      </c>
      <c r="K4" s="77">
        <f>+H4-I4+J4</f>
        <v>1033092.965142</v>
      </c>
    </row>
    <row r="5" spans="1:22" ht="15" customHeight="1" x14ac:dyDescent="0.25">
      <c r="B5" s="182" t="s">
        <v>95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81"/>
    </row>
    <row r="6" spans="1:22" ht="15" customHeight="1" x14ac:dyDescent="0.25">
      <c r="A6" s="8"/>
      <c r="B6" s="82">
        <v>45962</v>
      </c>
      <c r="C6" s="158">
        <f>+C7</f>
        <v>1067268</v>
      </c>
      <c r="D6" s="84"/>
      <c r="E6" s="15"/>
      <c r="F6" s="85"/>
      <c r="G6" s="15"/>
      <c r="H6" s="16"/>
      <c r="I6" s="86"/>
      <c r="J6" s="86"/>
      <c r="K6" s="87"/>
      <c r="L6" s="16"/>
      <c r="M6" s="16"/>
      <c r="N6" s="16"/>
      <c r="O6" s="16"/>
      <c r="P6" s="16"/>
      <c r="Q6" s="88"/>
      <c r="R6" s="4"/>
      <c r="S6" s="4"/>
    </row>
    <row r="7" spans="1:22" ht="15" customHeight="1" x14ac:dyDescent="0.25">
      <c r="A7" s="1"/>
      <c r="B7" s="89" t="s">
        <v>48</v>
      </c>
      <c r="C7" s="90">
        <v>1067268</v>
      </c>
      <c r="J7" s="91"/>
      <c r="K7" s="24"/>
    </row>
    <row r="8" spans="1:22" ht="15" customHeight="1" x14ac:dyDescent="0.25">
      <c r="A8" s="92"/>
      <c r="B8" s="93"/>
      <c r="C8" s="94" t="s">
        <v>49</v>
      </c>
      <c r="D8" s="94" t="s">
        <v>50</v>
      </c>
      <c r="E8" s="94" t="s">
        <v>51</v>
      </c>
      <c r="F8" s="94" t="s">
        <v>52</v>
      </c>
      <c r="G8" s="95" t="s">
        <v>53</v>
      </c>
      <c r="H8" s="96" t="s">
        <v>54</v>
      </c>
      <c r="I8" s="94" t="s">
        <v>55</v>
      </c>
      <c r="J8" s="94" t="s">
        <v>56</v>
      </c>
      <c r="K8" s="94" t="s">
        <v>57</v>
      </c>
      <c r="L8" s="94" t="s">
        <v>58</v>
      </c>
      <c r="M8" s="94" t="s">
        <v>59</v>
      </c>
      <c r="N8" s="97" t="s">
        <v>60</v>
      </c>
      <c r="O8" s="97" t="s">
        <v>61</v>
      </c>
      <c r="P8" s="98" t="s">
        <v>62</v>
      </c>
      <c r="Q8" s="98" t="s">
        <v>62</v>
      </c>
      <c r="R8" s="98" t="s">
        <v>62</v>
      </c>
      <c r="S8" s="99" t="s">
        <v>63</v>
      </c>
      <c r="T8" s="100">
        <f>+S29</f>
        <v>161010.01170227703</v>
      </c>
      <c r="U8" s="101">
        <v>6296571.8499999996</v>
      </c>
      <c r="V8" s="102" t="s">
        <v>64</v>
      </c>
    </row>
    <row r="9" spans="1:22" ht="15" customHeight="1" x14ac:dyDescent="0.25">
      <c r="A9" s="103">
        <v>14</v>
      </c>
      <c r="B9" s="104" t="s">
        <v>65</v>
      </c>
      <c r="C9" s="105">
        <v>40664</v>
      </c>
      <c r="D9" s="106">
        <f>+C7/48*40</f>
        <v>889390</v>
      </c>
      <c r="E9" s="107">
        <f t="shared" ref="E9:E28" si="0">+D9*A9*0.01</f>
        <v>124514.6</v>
      </c>
      <c r="F9" s="106">
        <f t="shared" ref="F9:F17" si="1">+(D9+E9)*8.33/100</f>
        <v>84458.25318</v>
      </c>
      <c r="G9" s="108">
        <f>+G4</f>
        <v>0</v>
      </c>
      <c r="H9" s="109">
        <f t="shared" ref="H9:H28" si="2">+D9+E9+F9+G9</f>
        <v>1098362.8531800001</v>
      </c>
      <c r="I9" s="110">
        <f t="shared" ref="I9:I24" si="3">+H9*0.195+J9*0.055</f>
        <v>219559.64013172503</v>
      </c>
      <c r="J9" s="111">
        <f>+J4/48*40*1.0833</f>
        <v>97797.886574999997</v>
      </c>
      <c r="K9" s="112">
        <f t="shared" ref="K9:K28" si="4">+H9-I9+J9</f>
        <v>976601.09962327511</v>
      </c>
      <c r="L9" s="113">
        <v>8</v>
      </c>
      <c r="M9" s="111">
        <f t="shared" ref="M9:M28" si="5">+K9/8*L9</f>
        <v>976601.09962327511</v>
      </c>
      <c r="N9" s="114">
        <f>+M9*1.0833</f>
        <v>1057951.9712218938</v>
      </c>
      <c r="O9" s="115"/>
      <c r="P9" s="164">
        <f>+D45+200000</f>
        <v>590018.84499999997</v>
      </c>
      <c r="Q9" s="110">
        <f>200000+100000</f>
        <v>300000</v>
      </c>
      <c r="R9" s="110">
        <v>167933.13</v>
      </c>
      <c r="S9" s="78">
        <f>+N9-P9-Q9-R9</f>
        <v>-3.778106183744967E-3</v>
      </c>
      <c r="T9" s="6">
        <f>+S9/T8</f>
        <v>-2.3465038874297135E-8</v>
      </c>
      <c r="U9" s="24">
        <f>+T9*U8</f>
        <v>-0.14774930323505503</v>
      </c>
      <c r="V9" s="116">
        <f>+M9/2</f>
        <v>488300.54981163755</v>
      </c>
    </row>
    <row r="10" spans="1:22" ht="15" customHeight="1" x14ac:dyDescent="0.25">
      <c r="A10" s="103">
        <v>12</v>
      </c>
      <c r="B10" s="104" t="s">
        <v>66</v>
      </c>
      <c r="C10" s="105">
        <v>41529</v>
      </c>
      <c r="D10" s="106">
        <f t="shared" ref="D10:D18" si="6">+D9</f>
        <v>889390</v>
      </c>
      <c r="E10" s="107">
        <f t="shared" si="0"/>
        <v>106726.8</v>
      </c>
      <c r="F10" s="106">
        <f t="shared" si="1"/>
        <v>82976.529439999998</v>
      </c>
      <c r="G10" s="108">
        <f>+G9</f>
        <v>0</v>
      </c>
      <c r="H10" s="109">
        <f t="shared" si="2"/>
        <v>1079093.32944</v>
      </c>
      <c r="I10" s="110">
        <f t="shared" si="3"/>
        <v>215802.083002425</v>
      </c>
      <c r="J10" s="111">
        <f t="shared" ref="J10:J18" si="7">+J9</f>
        <v>97797.886574999997</v>
      </c>
      <c r="K10" s="112">
        <f t="shared" si="4"/>
        <v>961089.13301257498</v>
      </c>
      <c r="L10" s="113">
        <v>8</v>
      </c>
      <c r="M10" s="111">
        <f t="shared" si="5"/>
        <v>961089.13301257498</v>
      </c>
      <c r="N10" s="114">
        <f>+M10*1.0833/30*29</f>
        <v>1006442.9291994383</v>
      </c>
      <c r="O10" s="115">
        <v>1</v>
      </c>
      <c r="P10" s="164">
        <f>100000+120000</f>
        <v>220000</v>
      </c>
      <c r="Q10" s="110">
        <f>50000+20000+100000+170000</f>
        <v>340000</v>
      </c>
      <c r="R10" s="110">
        <v>446442.93</v>
      </c>
      <c r="S10" s="78">
        <f>+N10-P10-Q10-R10</f>
        <v>-8.0056168371811509E-4</v>
      </c>
      <c r="T10" s="6">
        <f>+S10/T8</f>
        <v>-4.972123629171772E-9</v>
      </c>
      <c r="U10" s="24">
        <f>+T10*U8</f>
        <v>-3.1307333678162817E-2</v>
      </c>
      <c r="V10" s="154">
        <f>+M10/2</f>
        <v>480544.56650628749</v>
      </c>
    </row>
    <row r="11" spans="1:22" ht="15" customHeight="1" x14ac:dyDescent="0.25">
      <c r="A11" s="103">
        <v>2</v>
      </c>
      <c r="B11" s="104" t="s">
        <v>67</v>
      </c>
      <c r="C11" s="105">
        <v>45017</v>
      </c>
      <c r="D11" s="106">
        <f t="shared" si="6"/>
        <v>889390</v>
      </c>
      <c r="E11" s="107">
        <f t="shared" si="0"/>
        <v>17787.8</v>
      </c>
      <c r="F11" s="106">
        <f t="shared" si="1"/>
        <v>75567.910740000007</v>
      </c>
      <c r="G11" s="108">
        <f>+G10</f>
        <v>0</v>
      </c>
      <c r="H11" s="109">
        <f t="shared" si="2"/>
        <v>982745.71074000001</v>
      </c>
      <c r="I11" s="110">
        <f t="shared" si="3"/>
        <v>197014.29735592502</v>
      </c>
      <c r="J11" s="111">
        <f t="shared" si="7"/>
        <v>97797.886574999997</v>
      </c>
      <c r="K11" s="112">
        <f t="shared" si="4"/>
        <v>883529.29995907506</v>
      </c>
      <c r="L11" s="113">
        <v>8</v>
      </c>
      <c r="M11" s="111">
        <f t="shared" si="5"/>
        <v>883529.29995907506</v>
      </c>
      <c r="N11" s="114">
        <f>+M11*1.0833</f>
        <v>957127.29064566595</v>
      </c>
      <c r="O11" s="115"/>
      <c r="P11" s="110">
        <v>220000</v>
      </c>
      <c r="Q11" s="110">
        <v>320000</v>
      </c>
      <c r="R11" s="110">
        <v>417127.29</v>
      </c>
      <c r="S11" s="78">
        <f>+N11-P11-Q11-R11</f>
        <v>6.4566597575321794E-4</v>
      </c>
      <c r="T11" s="6">
        <f>+S11/T8</f>
        <v>4.0100983095828617E-9</v>
      </c>
      <c r="U11" s="24">
        <f>+T11*U8</f>
        <v>2.5249872131852029E-2</v>
      </c>
      <c r="V11" s="116"/>
    </row>
    <row r="12" spans="1:22" ht="15" customHeight="1" x14ac:dyDescent="0.25">
      <c r="A12" s="103">
        <v>10</v>
      </c>
      <c r="B12" s="104" t="s">
        <v>68</v>
      </c>
      <c r="C12" s="105">
        <v>42269</v>
      </c>
      <c r="D12" s="106">
        <f t="shared" si="6"/>
        <v>889390</v>
      </c>
      <c r="E12" s="107">
        <f t="shared" si="0"/>
        <v>88939</v>
      </c>
      <c r="F12" s="106">
        <f t="shared" si="1"/>
        <v>81494.805699999997</v>
      </c>
      <c r="G12" s="108">
        <f>+G11</f>
        <v>0</v>
      </c>
      <c r="H12" s="109">
        <f t="shared" si="2"/>
        <v>1059823.8056999999</v>
      </c>
      <c r="I12" s="110">
        <f t="shared" si="3"/>
        <v>212044.52587312501</v>
      </c>
      <c r="J12" s="111">
        <f t="shared" si="7"/>
        <v>97797.886574999997</v>
      </c>
      <c r="K12" s="112">
        <f t="shared" si="4"/>
        <v>945577.16640187486</v>
      </c>
      <c r="L12" s="113">
        <v>4</v>
      </c>
      <c r="M12" s="111">
        <f t="shared" si="5"/>
        <v>472788.58320093743</v>
      </c>
      <c r="N12" s="114">
        <f>472788.85*1.0833/30*15+827380*1.0833/30*15</f>
        <v>704236.45760249998</v>
      </c>
      <c r="O12" s="115"/>
      <c r="P12" s="164">
        <f>+N33+100000</f>
        <v>165970.33000000002</v>
      </c>
      <c r="Q12" s="110">
        <f>100000+50000</f>
        <v>150000</v>
      </c>
      <c r="R12" s="110">
        <v>196201.54</v>
      </c>
      <c r="S12" s="78">
        <f>+(N12-P12-Q12-R12)*1</f>
        <v>192064.5876024999</v>
      </c>
      <c r="T12" s="6">
        <f>+S12/T8</f>
        <v>1.1928735708537539</v>
      </c>
      <c r="U12" s="24">
        <f>+T12*U8*1</f>
        <v>7511014.1468467265</v>
      </c>
      <c r="V12" s="116"/>
    </row>
    <row r="13" spans="1:22" ht="15" customHeight="1" x14ac:dyDescent="0.25">
      <c r="A13" s="103">
        <v>1</v>
      </c>
      <c r="B13" s="104" t="s">
        <v>69</v>
      </c>
      <c r="C13" s="105">
        <v>45532</v>
      </c>
      <c r="D13" s="106">
        <f t="shared" si="6"/>
        <v>889390</v>
      </c>
      <c r="E13" s="107">
        <f t="shared" si="0"/>
        <v>8893.9</v>
      </c>
      <c r="F13" s="106">
        <f t="shared" si="1"/>
        <v>74827.048869999999</v>
      </c>
      <c r="G13" s="108">
        <f>5000*1.25*1.25*1.28*1.4*1.72*1.65*1.1806*1.1645*1.2*1.2*1.1</f>
        <v>86524.256441145611</v>
      </c>
      <c r="H13" s="109">
        <f t="shared" si="2"/>
        <v>1059635.2053111456</v>
      </c>
      <c r="I13" s="110">
        <f t="shared" si="3"/>
        <v>212007.74879729841</v>
      </c>
      <c r="J13" s="111">
        <f t="shared" si="7"/>
        <v>97797.886574999997</v>
      </c>
      <c r="K13" s="112">
        <f t="shared" si="4"/>
        <v>945425.34308884724</v>
      </c>
      <c r="L13" s="113">
        <v>4</v>
      </c>
      <c r="M13" s="111">
        <f t="shared" si="5"/>
        <v>472712.67154442362</v>
      </c>
      <c r="N13" s="114">
        <f>+M13*1.0833/30*29</f>
        <v>495019.98251460498</v>
      </c>
      <c r="O13" s="115">
        <v>1</v>
      </c>
      <c r="P13" s="110">
        <v>110000</v>
      </c>
      <c r="Q13" s="161">
        <f>110000+50000</f>
        <v>160000</v>
      </c>
      <c r="R13" s="110">
        <v>225019.98</v>
      </c>
      <c r="S13" s="78">
        <f>+N13-P13-Q13-R13</f>
        <v>2.5146049738395959E-3</v>
      </c>
      <c r="T13" s="6">
        <f>+S13/T8</f>
        <v>1.5617693255555699E-8</v>
      </c>
      <c r="U13" s="24">
        <f>+T13*U8</f>
        <v>9.8337927714866866E-2</v>
      </c>
      <c r="V13" s="116"/>
    </row>
    <row r="14" spans="1:22" ht="15" customHeight="1" x14ac:dyDescent="0.25">
      <c r="A14" s="103">
        <v>5</v>
      </c>
      <c r="B14" s="104" t="s">
        <v>70</v>
      </c>
      <c r="C14" s="105">
        <v>43973</v>
      </c>
      <c r="D14" s="106">
        <f t="shared" si="6"/>
        <v>889390</v>
      </c>
      <c r="E14" s="107">
        <f t="shared" si="0"/>
        <v>44469.5</v>
      </c>
      <c r="F14" s="106">
        <f t="shared" si="1"/>
        <v>77790.496350000001</v>
      </c>
      <c r="G14" s="108">
        <f>+G12</f>
        <v>0</v>
      </c>
      <c r="H14" s="109">
        <f t="shared" si="2"/>
        <v>1011649.99635</v>
      </c>
      <c r="I14" s="110">
        <f t="shared" si="3"/>
        <v>202650.63304987503</v>
      </c>
      <c r="J14" s="111">
        <f t="shared" si="7"/>
        <v>97797.886574999997</v>
      </c>
      <c r="K14" s="112">
        <f t="shared" si="4"/>
        <v>906797.24987512501</v>
      </c>
      <c r="L14" s="113">
        <v>8</v>
      </c>
      <c r="M14" s="111">
        <f t="shared" si="5"/>
        <v>906797.24987512501</v>
      </c>
      <c r="N14" s="114">
        <f>+M14*1.0833/30*30</f>
        <v>982333.46078972286</v>
      </c>
      <c r="O14" s="115"/>
      <c r="P14" s="110">
        <v>220000</v>
      </c>
      <c r="Q14" s="110">
        <f>230000+100000</f>
        <v>330000</v>
      </c>
      <c r="R14" s="110">
        <v>432333.46</v>
      </c>
      <c r="S14" s="78">
        <f>+N14-P14-Q14-R14</f>
        <v>7.8972283517941833E-4</v>
      </c>
      <c r="T14" s="6">
        <f>+S14/T8</f>
        <v>4.9048057746849414E-9</v>
      </c>
      <c r="U14" s="24">
        <f>+T14*U8</f>
        <v>3.0883461970598644E-2</v>
      </c>
      <c r="V14" s="116"/>
    </row>
    <row r="15" spans="1:22" ht="15" customHeight="1" x14ac:dyDescent="0.25">
      <c r="A15" s="103">
        <v>6</v>
      </c>
      <c r="B15" s="104" t="s">
        <v>71</v>
      </c>
      <c r="C15" s="105">
        <v>43846</v>
      </c>
      <c r="D15" s="106">
        <f t="shared" si="6"/>
        <v>889390</v>
      </c>
      <c r="E15" s="107">
        <f t="shared" si="0"/>
        <v>53363.4</v>
      </c>
      <c r="F15" s="106">
        <f t="shared" si="1"/>
        <v>78531.358220000009</v>
      </c>
      <c r="G15" s="108">
        <f t="shared" ref="G15:G27" si="8">+G14</f>
        <v>0</v>
      </c>
      <c r="H15" s="109">
        <f t="shared" si="2"/>
        <v>1021284.7582200001</v>
      </c>
      <c r="I15" s="110">
        <f t="shared" si="3"/>
        <v>204529.41161452504</v>
      </c>
      <c r="J15" s="111">
        <f t="shared" si="7"/>
        <v>97797.886574999997</v>
      </c>
      <c r="K15" s="112">
        <f t="shared" si="4"/>
        <v>914553.23318047507</v>
      </c>
      <c r="L15" s="113">
        <v>8</v>
      </c>
      <c r="M15" s="111">
        <f t="shared" si="5"/>
        <v>914553.23318047507</v>
      </c>
      <c r="N15" s="114">
        <f>+M15*1.0833</f>
        <v>990735.51750440861</v>
      </c>
      <c r="O15" s="115"/>
      <c r="P15" s="110">
        <v>220000</v>
      </c>
      <c r="Q15" s="110">
        <f>100000+130000+100000</f>
        <v>330000</v>
      </c>
      <c r="R15" s="110">
        <v>440735.52</v>
      </c>
      <c r="S15" s="78">
        <f>+N15-P15-Q15-R15</f>
        <v>-2.4955914122983813E-3</v>
      </c>
      <c r="T15" s="6">
        <f>+S15/T8</f>
        <v>-1.5499603943343408E-8</v>
      </c>
      <c r="U15" s="24">
        <f>+T15*U8</f>
        <v>-9.7594369875805095E-2</v>
      </c>
      <c r="V15" s="116"/>
    </row>
    <row r="16" spans="1:22" ht="15" customHeight="1" x14ac:dyDescent="0.25">
      <c r="A16" s="103">
        <v>5</v>
      </c>
      <c r="B16" s="104" t="s">
        <v>72</v>
      </c>
      <c r="C16" s="105">
        <v>43922</v>
      </c>
      <c r="D16" s="106">
        <f t="shared" si="6"/>
        <v>889390</v>
      </c>
      <c r="E16" s="107">
        <f t="shared" si="0"/>
        <v>44469.5</v>
      </c>
      <c r="F16" s="106">
        <f t="shared" si="1"/>
        <v>77790.496350000001</v>
      </c>
      <c r="G16" s="108">
        <f t="shared" si="8"/>
        <v>0</v>
      </c>
      <c r="H16" s="109">
        <f t="shared" si="2"/>
        <v>1011649.99635</v>
      </c>
      <c r="I16" s="110">
        <f t="shared" si="3"/>
        <v>202650.63304987503</v>
      </c>
      <c r="J16" s="111">
        <f t="shared" si="7"/>
        <v>97797.886574999997</v>
      </c>
      <c r="K16" s="112">
        <f t="shared" si="4"/>
        <v>906797.24987512501</v>
      </c>
      <c r="L16" s="113">
        <v>8</v>
      </c>
      <c r="M16" s="111">
        <f t="shared" si="5"/>
        <v>906797.24987512501</v>
      </c>
      <c r="N16" s="114">
        <f>+M16*1.0833</f>
        <v>982333.46078972286</v>
      </c>
      <c r="O16" s="115"/>
      <c r="P16" s="164">
        <f>70000+200000</f>
        <v>270000</v>
      </c>
      <c r="Q16" s="110">
        <v>310000</v>
      </c>
      <c r="R16" s="110">
        <v>402333.46</v>
      </c>
      <c r="S16" s="78">
        <f>+(N16-P16-Q16-R16)*1</f>
        <v>7.8972283517941833E-4</v>
      </c>
      <c r="T16" s="6">
        <f>+S16/T8</f>
        <v>4.9048057746849414E-9</v>
      </c>
      <c r="U16" s="24">
        <f>+T16*U8*1</f>
        <v>3.0883461970598644E-2</v>
      </c>
      <c r="V16" s="154">
        <f>+M16/2*0</f>
        <v>0</v>
      </c>
    </row>
    <row r="17" spans="1:22" ht="15" customHeight="1" x14ac:dyDescent="0.25">
      <c r="A17" s="103">
        <v>4</v>
      </c>
      <c r="B17" s="104" t="s">
        <v>73</v>
      </c>
      <c r="C17" s="105">
        <v>44567</v>
      </c>
      <c r="D17" s="106">
        <f t="shared" si="6"/>
        <v>889390</v>
      </c>
      <c r="E17" s="107">
        <f t="shared" si="0"/>
        <v>35575.599999999999</v>
      </c>
      <c r="F17" s="106">
        <f t="shared" si="1"/>
        <v>77049.634479999993</v>
      </c>
      <c r="G17" s="108">
        <f t="shared" si="8"/>
        <v>0</v>
      </c>
      <c r="H17" s="109">
        <f t="shared" si="2"/>
        <v>1002015.23448</v>
      </c>
      <c r="I17" s="110">
        <f t="shared" si="3"/>
        <v>200771.85448522502</v>
      </c>
      <c r="J17" s="111">
        <f t="shared" si="7"/>
        <v>97797.886574999997</v>
      </c>
      <c r="K17" s="112">
        <f t="shared" si="4"/>
        <v>899041.26656977495</v>
      </c>
      <c r="L17" s="113">
        <v>8</v>
      </c>
      <c r="M17" s="111">
        <f t="shared" si="5"/>
        <v>899041.26656977495</v>
      </c>
      <c r="N17" s="114">
        <f>+M17*1.0833</f>
        <v>973931.40407503711</v>
      </c>
      <c r="O17" s="115"/>
      <c r="P17" s="164">
        <f>100000+200000</f>
        <v>300000</v>
      </c>
      <c r="Q17" s="110">
        <f>200000+100000</f>
        <v>300000</v>
      </c>
      <c r="R17" s="110">
        <f>150000+223931.4</f>
        <v>373931.4</v>
      </c>
      <c r="S17" s="78">
        <f>+N17-P17-Q17-R17</f>
        <v>4.075037082657218E-3</v>
      </c>
      <c r="T17" s="6">
        <f>+S17/T8</f>
        <v>2.5309215492713289E-8</v>
      </c>
      <c r="U17" s="24">
        <f>+T17*U8</f>
        <v>0.15936129381700237</v>
      </c>
      <c r="V17" s="116"/>
    </row>
    <row r="18" spans="1:22" ht="15" customHeight="1" x14ac:dyDescent="0.25">
      <c r="A18" s="103">
        <v>4</v>
      </c>
      <c r="B18" s="104" t="s">
        <v>91</v>
      </c>
      <c r="C18" s="105">
        <v>44567</v>
      </c>
      <c r="D18" s="106">
        <f t="shared" si="6"/>
        <v>889390</v>
      </c>
      <c r="E18" s="107">
        <f t="shared" si="0"/>
        <v>35575.599999999999</v>
      </c>
      <c r="F18" s="106">
        <f>+(D18+E18)*8.33/100*1</f>
        <v>77049.634479999993</v>
      </c>
      <c r="G18" s="108">
        <f t="shared" si="8"/>
        <v>0</v>
      </c>
      <c r="H18" s="109">
        <f t="shared" si="2"/>
        <v>1002015.23448</v>
      </c>
      <c r="I18" s="110">
        <f t="shared" si="3"/>
        <v>200771.85448522502</v>
      </c>
      <c r="J18" s="111">
        <f t="shared" si="7"/>
        <v>97797.886574999997</v>
      </c>
      <c r="K18" s="112">
        <f t="shared" si="4"/>
        <v>899041.26656977495</v>
      </c>
      <c r="L18" s="113">
        <v>8</v>
      </c>
      <c r="M18" s="111">
        <f t="shared" si="5"/>
        <v>899041.26656977495</v>
      </c>
      <c r="N18" s="114">
        <f>+M18*1.0833/30*30</f>
        <v>973931.40407503711</v>
      </c>
      <c r="O18" s="115"/>
      <c r="P18" s="164">
        <f>30000+190000</f>
        <v>220000</v>
      </c>
      <c r="Q18" s="110">
        <f>230000+100000</f>
        <v>330000</v>
      </c>
      <c r="R18" s="110">
        <v>423931.4</v>
      </c>
      <c r="S18" s="78">
        <f>+N18-P18-Q18-R18</f>
        <v>4.075037082657218E-3</v>
      </c>
      <c r="T18" s="6">
        <f>+S18/T8</f>
        <v>2.5309215492713289E-8</v>
      </c>
      <c r="U18" s="24">
        <f>+T18*U8</f>
        <v>0.15936129381700237</v>
      </c>
      <c r="V18" s="116"/>
    </row>
    <row r="19" spans="1:22" ht="15" customHeight="1" x14ac:dyDescent="0.25">
      <c r="A19" s="103">
        <v>2</v>
      </c>
      <c r="B19" s="104" t="s">
        <v>74</v>
      </c>
      <c r="C19" s="105">
        <v>45194</v>
      </c>
      <c r="D19" s="106">
        <f>+D17</f>
        <v>889390</v>
      </c>
      <c r="E19" s="107">
        <f t="shared" si="0"/>
        <v>17787.8</v>
      </c>
      <c r="F19" s="106">
        <f>+(D19+E19)*8.33/100</f>
        <v>75567.910740000007</v>
      </c>
      <c r="G19" s="108">
        <f t="shared" si="8"/>
        <v>0</v>
      </c>
      <c r="H19" s="109">
        <f t="shared" si="2"/>
        <v>982745.71074000001</v>
      </c>
      <c r="I19" s="110">
        <f t="shared" si="3"/>
        <v>197014.29735592502</v>
      </c>
      <c r="J19" s="111">
        <f>+J17</f>
        <v>97797.886574999997</v>
      </c>
      <c r="K19" s="112">
        <f t="shared" si="4"/>
        <v>883529.29995907506</v>
      </c>
      <c r="L19" s="113">
        <v>8</v>
      </c>
      <c r="M19" s="111">
        <f t="shared" si="5"/>
        <v>883529.29995907506</v>
      </c>
      <c r="N19" s="114">
        <f>+M19*1.0833</f>
        <v>957127.29064566595</v>
      </c>
      <c r="O19" s="115"/>
      <c r="P19" s="164">
        <f>5800+162000+60000</f>
        <v>227800</v>
      </c>
      <c r="Q19" s="110">
        <v>320000</v>
      </c>
      <c r="R19" s="110">
        <v>409327.29</v>
      </c>
      <c r="S19" s="78">
        <f>+(N19-P19-Q19-R19)*1</f>
        <v>6.4566597575321794E-4</v>
      </c>
      <c r="T19" s="6">
        <f>+S19/T8</f>
        <v>4.0100983095828617E-9</v>
      </c>
      <c r="U19" s="24">
        <f>+T19*U8</f>
        <v>2.5249872131852029E-2</v>
      </c>
      <c r="V19" s="154">
        <f>+M19/2*0</f>
        <v>0</v>
      </c>
    </row>
    <row r="20" spans="1:22" ht="15" customHeight="1" x14ac:dyDescent="0.25">
      <c r="A20" s="103">
        <v>0</v>
      </c>
      <c r="B20" s="104" t="s">
        <v>94</v>
      </c>
      <c r="C20" s="105">
        <v>45950</v>
      </c>
      <c r="D20" s="106">
        <f>+D18</f>
        <v>889390</v>
      </c>
      <c r="E20" s="107">
        <f t="shared" si="0"/>
        <v>0</v>
      </c>
      <c r="F20" s="106">
        <f>+(D20+E20)*8.33/100*1</f>
        <v>74086.187000000005</v>
      </c>
      <c r="G20" s="108">
        <f t="shared" si="8"/>
        <v>0</v>
      </c>
      <c r="H20" s="109">
        <f t="shared" si="2"/>
        <v>963476.18700000003</v>
      </c>
      <c r="I20" s="110">
        <f t="shared" si="3"/>
        <v>193256.74022662503</v>
      </c>
      <c r="J20" s="111">
        <f>+J18</f>
        <v>97797.886574999997</v>
      </c>
      <c r="K20" s="112">
        <f t="shared" si="4"/>
        <v>868017.33334837505</v>
      </c>
      <c r="L20" s="113">
        <v>4</v>
      </c>
      <c r="M20" s="111">
        <f t="shared" si="5"/>
        <v>434008.66667418752</v>
      </c>
      <c r="N20" s="114">
        <f>+M20*1.0833/30*30</f>
        <v>470161.58860814729</v>
      </c>
      <c r="O20" s="115"/>
      <c r="P20" s="110">
        <v>100000</v>
      </c>
      <c r="Q20" s="110">
        <f>100000+50000</f>
        <v>150000</v>
      </c>
      <c r="R20" s="163">
        <v>220161.59</v>
      </c>
      <c r="S20" s="78">
        <f>+N20-P20-Q20-R20</f>
        <v>-1.3918527110945433E-3</v>
      </c>
      <c r="T20" s="6">
        <f>+S20/T8</f>
        <v>-8.6445103405632482E-9</v>
      </c>
      <c r="U20" s="24">
        <f>+T20*U8</f>
        <v>-5.4430780467424458E-2</v>
      </c>
      <c r="V20" s="116">
        <f>+M20/360*3*0</f>
        <v>0</v>
      </c>
    </row>
    <row r="21" spans="1:22" ht="15" customHeight="1" x14ac:dyDescent="0.25">
      <c r="A21" s="103">
        <v>1</v>
      </c>
      <c r="B21" s="104" t="s">
        <v>75</v>
      </c>
      <c r="C21" s="105">
        <v>45621</v>
      </c>
      <c r="D21" s="106">
        <f t="shared" ref="D21:D27" si="9">+D20</f>
        <v>889390</v>
      </c>
      <c r="E21" s="107">
        <f t="shared" si="0"/>
        <v>8893.9</v>
      </c>
      <c r="F21" s="106">
        <f>+(D21+E21)*8.33/100</f>
        <v>74827.048869999999</v>
      </c>
      <c r="G21" s="108">
        <f t="shared" si="8"/>
        <v>0</v>
      </c>
      <c r="H21" s="109">
        <f t="shared" si="2"/>
        <v>973110.94886999996</v>
      </c>
      <c r="I21" s="110">
        <f t="shared" si="3"/>
        <v>195135.51879127501</v>
      </c>
      <c r="J21" s="111">
        <f t="shared" ref="J21:J27" si="10">+J20</f>
        <v>97797.886574999997</v>
      </c>
      <c r="K21" s="112">
        <f t="shared" si="4"/>
        <v>875773.31665372499</v>
      </c>
      <c r="L21" s="113">
        <v>8</v>
      </c>
      <c r="M21" s="111">
        <f t="shared" si="5"/>
        <v>875773.31665372499</v>
      </c>
      <c r="N21" s="114">
        <f>+M21*1.0833</f>
        <v>948725.2339309802</v>
      </c>
      <c r="O21" s="115"/>
      <c r="P21" s="164">
        <v>220000</v>
      </c>
      <c r="Q21" s="110">
        <f>220000+100000</f>
        <v>320000</v>
      </c>
      <c r="R21" s="110">
        <v>408725.23</v>
      </c>
      <c r="S21" s="78">
        <f>+N21-P21-Q21-R21</f>
        <v>3.9309802232310176E-3</v>
      </c>
      <c r="T21" s="6">
        <f>+S21/T8</f>
        <v>2.4414508027611212E-8</v>
      </c>
      <c r="U21" s="24">
        <f>+T21*U8</f>
        <v>0.15372770397825578</v>
      </c>
      <c r="V21" s="116">
        <f>+M21/2</f>
        <v>437886.6583268625</v>
      </c>
    </row>
    <row r="22" spans="1:22" ht="15" customHeight="1" x14ac:dyDescent="0.25">
      <c r="A22" s="103">
        <v>1</v>
      </c>
      <c r="B22" s="104" t="s">
        <v>76</v>
      </c>
      <c r="C22" s="105">
        <v>45643</v>
      </c>
      <c r="D22" s="106">
        <f t="shared" si="9"/>
        <v>889390</v>
      </c>
      <c r="E22" s="107">
        <f t="shared" si="0"/>
        <v>8893.9</v>
      </c>
      <c r="F22" s="106">
        <f>+(D22+E22)*8.33/100</f>
        <v>74827.048869999999</v>
      </c>
      <c r="G22" s="108">
        <f t="shared" si="8"/>
        <v>0</v>
      </c>
      <c r="H22" s="109">
        <f t="shared" si="2"/>
        <v>973110.94886999996</v>
      </c>
      <c r="I22" s="110">
        <f t="shared" si="3"/>
        <v>195135.51879127501</v>
      </c>
      <c r="J22" s="111">
        <f t="shared" si="10"/>
        <v>97797.886574999997</v>
      </c>
      <c r="K22" s="156">
        <f t="shared" si="4"/>
        <v>875773.31665372499</v>
      </c>
      <c r="L22" s="113">
        <v>6</v>
      </c>
      <c r="M22" s="111">
        <f t="shared" si="5"/>
        <v>656829.9874902938</v>
      </c>
      <c r="N22" s="114">
        <f>+M22*1.0833/30*29</f>
        <v>687825.79459996079</v>
      </c>
      <c r="O22" s="115">
        <v>1</v>
      </c>
      <c r="P22" s="110">
        <v>150000</v>
      </c>
      <c r="Q22" s="110">
        <f>160000+80000</f>
        <v>240000</v>
      </c>
      <c r="R22" s="110">
        <v>297825.78999999998</v>
      </c>
      <c r="S22" s="78">
        <f>+N22-P22-Q22-R22</f>
        <v>4.5999608119018376E-3</v>
      </c>
      <c r="T22" s="6">
        <f>+S22/T8</f>
        <v>2.8569408593097966E-8</v>
      </c>
      <c r="U22" s="24">
        <f>+T22*U8</f>
        <v>0.17988933391844875</v>
      </c>
      <c r="V22" s="116"/>
    </row>
    <row r="23" spans="1:22" ht="15" customHeight="1" x14ac:dyDescent="0.25">
      <c r="A23" s="103">
        <v>1</v>
      </c>
      <c r="B23" s="104" t="s">
        <v>77</v>
      </c>
      <c r="C23" s="105">
        <v>45707</v>
      </c>
      <c r="D23" s="106">
        <f t="shared" si="9"/>
        <v>889390</v>
      </c>
      <c r="E23" s="107">
        <f t="shared" si="0"/>
        <v>8893.9</v>
      </c>
      <c r="F23" s="106">
        <f>+(D23+E23)*8.33/100</f>
        <v>74827.048869999999</v>
      </c>
      <c r="G23" s="108">
        <f t="shared" si="8"/>
        <v>0</v>
      </c>
      <c r="H23" s="109">
        <f t="shared" si="2"/>
        <v>973110.94886999996</v>
      </c>
      <c r="I23" s="110">
        <f t="shared" si="3"/>
        <v>195135.51879127501</v>
      </c>
      <c r="J23" s="111">
        <f t="shared" si="10"/>
        <v>97797.886574999997</v>
      </c>
      <c r="K23" s="156">
        <f t="shared" si="4"/>
        <v>875773.31665372499</v>
      </c>
      <c r="L23" s="113">
        <v>8</v>
      </c>
      <c r="M23" s="111">
        <f t="shared" si="5"/>
        <v>875773.31665372499</v>
      </c>
      <c r="N23" s="114">
        <f>+M23*1.0833/30*30</f>
        <v>948725.2339309802</v>
      </c>
      <c r="O23" s="115"/>
      <c r="P23" s="110">
        <v>220000</v>
      </c>
      <c r="Q23" s="110">
        <f>220000+100000</f>
        <v>320000</v>
      </c>
      <c r="R23" s="110">
        <v>408725.23</v>
      </c>
      <c r="S23" s="78">
        <f>+N23-P23-Q23-R23</f>
        <v>3.9309802232310176E-3</v>
      </c>
      <c r="T23" s="6">
        <f>+S23/T8</f>
        <v>2.4414508027611212E-8</v>
      </c>
      <c r="U23" s="24">
        <f>+T23*U8</f>
        <v>0.15372770397825578</v>
      </c>
      <c r="V23" s="116"/>
    </row>
    <row r="24" spans="1:22" ht="15" customHeight="1" x14ac:dyDescent="0.25">
      <c r="A24" s="103">
        <v>1</v>
      </c>
      <c r="B24" s="104" t="s">
        <v>78</v>
      </c>
      <c r="C24" s="105">
        <v>45705</v>
      </c>
      <c r="D24" s="106">
        <f t="shared" si="9"/>
        <v>889390</v>
      </c>
      <c r="E24" s="107">
        <f t="shared" si="0"/>
        <v>8893.9</v>
      </c>
      <c r="F24" s="106">
        <f>+(D24+E24)*8.33/100</f>
        <v>74827.048869999999</v>
      </c>
      <c r="G24" s="108">
        <f t="shared" si="8"/>
        <v>0</v>
      </c>
      <c r="H24" s="109">
        <f t="shared" si="2"/>
        <v>973110.94886999996</v>
      </c>
      <c r="I24" s="110">
        <f t="shared" si="3"/>
        <v>195135.51879127501</v>
      </c>
      <c r="J24" s="111">
        <f t="shared" si="10"/>
        <v>97797.886574999997</v>
      </c>
      <c r="K24" s="156">
        <f t="shared" si="4"/>
        <v>875773.31665372499</v>
      </c>
      <c r="L24" s="113">
        <v>8</v>
      </c>
      <c r="M24" s="111">
        <f t="shared" si="5"/>
        <v>875773.31665372499</v>
      </c>
      <c r="N24" s="114">
        <f>+M24*1.0833</f>
        <v>948725.2339309802</v>
      </c>
      <c r="O24" s="115"/>
      <c r="P24" s="110">
        <v>220000</v>
      </c>
      <c r="Q24" s="110">
        <f>220000+100000+35000</f>
        <v>355000</v>
      </c>
      <c r="R24" s="110">
        <v>373725.23</v>
      </c>
      <c r="S24" s="78">
        <f>+(N24-P24-Q24-R24)*1</f>
        <v>3.9309802232310176E-3</v>
      </c>
      <c r="T24" s="6">
        <f>+S24/T8</f>
        <v>2.4414508027611212E-8</v>
      </c>
      <c r="U24" s="24">
        <f>+T24*U8</f>
        <v>0.15372770397825578</v>
      </c>
      <c r="V24" s="154">
        <f>+M24/2*0</f>
        <v>0</v>
      </c>
    </row>
    <row r="25" spans="1:22" ht="15" customHeight="1" x14ac:dyDescent="0.25">
      <c r="A25" s="103">
        <v>0</v>
      </c>
      <c r="B25" s="104" t="s">
        <v>79</v>
      </c>
      <c r="C25" s="105">
        <v>45775</v>
      </c>
      <c r="D25" s="106">
        <f t="shared" si="9"/>
        <v>889390</v>
      </c>
      <c r="E25" s="107">
        <f t="shared" si="0"/>
        <v>0</v>
      </c>
      <c r="F25" s="106">
        <f>+(D25+E25)*8.33/100</f>
        <v>74086.187000000005</v>
      </c>
      <c r="G25" s="108">
        <f t="shared" si="8"/>
        <v>0</v>
      </c>
      <c r="H25" s="109">
        <f t="shared" si="2"/>
        <v>963476.18700000003</v>
      </c>
      <c r="I25" s="110">
        <f>+I24</f>
        <v>195135.51879127501</v>
      </c>
      <c r="J25" s="111">
        <f t="shared" si="10"/>
        <v>97797.886574999997</v>
      </c>
      <c r="K25" s="156">
        <f t="shared" si="4"/>
        <v>866138.55478372506</v>
      </c>
      <c r="L25" s="113">
        <v>8</v>
      </c>
      <c r="M25" s="111">
        <f t="shared" si="5"/>
        <v>866138.55478372506</v>
      </c>
      <c r="N25" s="114">
        <f>+M25*1.0833/30*30</f>
        <v>938287.89639720926</v>
      </c>
      <c r="O25" s="115"/>
      <c r="P25" s="110">
        <v>220000</v>
      </c>
      <c r="Q25" s="110">
        <f>220000+100000</f>
        <v>320000</v>
      </c>
      <c r="R25" s="110">
        <v>398287.9</v>
      </c>
      <c r="S25" s="78">
        <f>+N25-P25-Q25-R25</f>
        <v>-3.6027907626703382E-3</v>
      </c>
      <c r="T25" s="6">
        <f>+S25/T8</f>
        <v>-2.2376190924898783E-8</v>
      </c>
      <c r="U25" s="24">
        <f>+T25*U8</f>
        <v>-0.14089329388794314</v>
      </c>
      <c r="V25" s="116">
        <f>+M25/2</f>
        <v>433069.27739186253</v>
      </c>
    </row>
    <row r="26" spans="1:22" ht="15" customHeight="1" x14ac:dyDescent="0.25">
      <c r="A26" s="103">
        <v>0</v>
      </c>
      <c r="B26" s="104" t="s">
        <v>80</v>
      </c>
      <c r="C26" s="105">
        <v>45943</v>
      </c>
      <c r="D26" s="106">
        <f t="shared" si="9"/>
        <v>889390</v>
      </c>
      <c r="E26" s="107">
        <f t="shared" si="0"/>
        <v>0</v>
      </c>
      <c r="F26" s="106">
        <f>+(D26+E26)*8.33/100*1</f>
        <v>74086.187000000005</v>
      </c>
      <c r="G26" s="108">
        <f t="shared" si="8"/>
        <v>0</v>
      </c>
      <c r="H26" s="109">
        <f t="shared" si="2"/>
        <v>963476.18700000003</v>
      </c>
      <c r="I26" s="110">
        <f>+I25</f>
        <v>195135.51879127501</v>
      </c>
      <c r="J26" s="111">
        <f t="shared" si="10"/>
        <v>97797.886574999997</v>
      </c>
      <c r="K26" s="156">
        <f t="shared" si="4"/>
        <v>866138.55478372506</v>
      </c>
      <c r="L26" s="113">
        <v>4</v>
      </c>
      <c r="M26" s="111">
        <f t="shared" si="5"/>
        <v>433069.27739186253</v>
      </c>
      <c r="N26" s="114">
        <f>+M26*1.0833/30*30</f>
        <v>469143.94819860463</v>
      </c>
      <c r="O26" s="115"/>
      <c r="P26" s="110">
        <v>100000</v>
      </c>
      <c r="Q26" s="110">
        <f>110000+50000</f>
        <v>160000</v>
      </c>
      <c r="R26" s="110">
        <v>209143.95</v>
      </c>
      <c r="S26" s="78">
        <f>+N26-P26-Q26-R26</f>
        <v>-1.8013953813351691E-3</v>
      </c>
      <c r="T26" s="6">
        <f>+S26/T8</f>
        <v>-1.1188095462449391E-8</v>
      </c>
      <c r="U26" s="24">
        <f>+T26*U8</f>
        <v>-7.0446646943971569E-2</v>
      </c>
      <c r="V26" s="116">
        <f>+M26/360*4*0</f>
        <v>0</v>
      </c>
    </row>
    <row r="27" spans="1:22" ht="15" customHeight="1" x14ac:dyDescent="0.25">
      <c r="A27" s="103">
        <v>0</v>
      </c>
      <c r="B27" s="104" t="s">
        <v>81</v>
      </c>
      <c r="C27" s="105">
        <v>45962</v>
      </c>
      <c r="D27" s="106">
        <f t="shared" si="9"/>
        <v>889390</v>
      </c>
      <c r="E27" s="107">
        <f t="shared" si="0"/>
        <v>0</v>
      </c>
      <c r="F27" s="106">
        <f>+(D27+E27)*8.33/100</f>
        <v>74086.187000000005</v>
      </c>
      <c r="G27" s="108">
        <f t="shared" si="8"/>
        <v>0</v>
      </c>
      <c r="H27" s="109">
        <f t="shared" si="2"/>
        <v>963476.18700000003</v>
      </c>
      <c r="I27" s="110">
        <f>+I26</f>
        <v>195135.51879127501</v>
      </c>
      <c r="J27" s="111">
        <f t="shared" si="10"/>
        <v>97797.886574999997</v>
      </c>
      <c r="K27" s="156">
        <f t="shared" si="4"/>
        <v>866138.55478372506</v>
      </c>
      <c r="L27" s="155">
        <v>3</v>
      </c>
      <c r="M27" s="111">
        <f t="shared" si="5"/>
        <v>324801.95804389688</v>
      </c>
      <c r="N27" s="114">
        <f>+M27*1.0833</f>
        <v>351857.96114895347</v>
      </c>
      <c r="O27" s="115"/>
      <c r="P27" s="110">
        <v>100000</v>
      </c>
      <c r="Q27" s="110">
        <f>100000+50000</f>
        <v>150000</v>
      </c>
      <c r="R27" s="110">
        <v>101857.96</v>
      </c>
      <c r="S27" s="78">
        <f>+N27-P27-Q27-R27</f>
        <v>1.1489534663269296E-3</v>
      </c>
      <c r="T27" s="6">
        <f>+S27/T8</f>
        <v>7.1359131906123634E-9</v>
      </c>
      <c r="U27" s="24">
        <f>+T27*U8</f>
        <v>4.4931790120053487E-2</v>
      </c>
      <c r="V27" s="116">
        <f>+M27/360*3*0</f>
        <v>0</v>
      </c>
    </row>
    <row r="28" spans="1:22" ht="15" customHeight="1" x14ac:dyDescent="0.25">
      <c r="A28" s="103">
        <v>3</v>
      </c>
      <c r="B28" s="104" t="s">
        <v>82</v>
      </c>
      <c r="C28" s="105">
        <v>44927</v>
      </c>
      <c r="D28" s="106">
        <f>+D18</f>
        <v>889390</v>
      </c>
      <c r="E28" s="107">
        <f t="shared" si="0"/>
        <v>26681.7</v>
      </c>
      <c r="F28" s="106">
        <f>+(D28+E28)*8.33/100*0</f>
        <v>0</v>
      </c>
      <c r="G28" s="108">
        <f>+G25</f>
        <v>0</v>
      </c>
      <c r="H28" s="109">
        <f t="shared" si="2"/>
        <v>916071.7</v>
      </c>
      <c r="I28" s="110">
        <f>+H28*0.195+J28*0.055</f>
        <v>184012.865261625</v>
      </c>
      <c r="J28" s="111">
        <f>+J18</f>
        <v>97797.886574999997</v>
      </c>
      <c r="K28" s="156">
        <f t="shared" si="4"/>
        <v>829856.72131337493</v>
      </c>
      <c r="L28" s="113">
        <v>4</v>
      </c>
      <c r="M28" s="111">
        <f t="shared" si="5"/>
        <v>414928.36065668747</v>
      </c>
      <c r="N28" s="114">
        <f>+M28*1.0833/30*28</f>
        <v>419525.76689276355</v>
      </c>
      <c r="O28" s="115">
        <v>2</v>
      </c>
      <c r="P28" s="110">
        <v>100000</v>
      </c>
      <c r="Q28" s="110">
        <f>100000+50000</f>
        <v>150000</v>
      </c>
      <c r="R28" s="110">
        <f>139559.64+61020.72</f>
        <v>200580.36000000002</v>
      </c>
      <c r="S28" s="78">
        <f>+(N28-P28-Q28-R28)*1</f>
        <v>-31054.593107236462</v>
      </c>
      <c r="T28" s="6">
        <f>+S28/T8</f>
        <v>-0.19287367772296909</v>
      </c>
      <c r="U28" s="24">
        <f>+T28*U8</f>
        <v>-1214442.9697564193</v>
      </c>
      <c r="V28" s="116"/>
    </row>
    <row r="29" spans="1:22" ht="15" customHeight="1" x14ac:dyDescent="0.25">
      <c r="A29" s="121">
        <v>20</v>
      </c>
      <c r="K29" s="122">
        <f>SUM(K9:K28)</f>
        <v>17921364.593742821</v>
      </c>
      <c r="M29" s="123">
        <f>SUM(M9:M28)</f>
        <v>14933577.108371465</v>
      </c>
      <c r="N29" s="124">
        <f>SUM(N9:N28)</f>
        <v>16264149.82670228</v>
      </c>
      <c r="O29" s="125"/>
      <c r="P29" s="126">
        <f t="shared" ref="P29:U29" si="11">SUM(P9:P28)</f>
        <v>4193789.1749999998</v>
      </c>
      <c r="Q29" s="126">
        <f t="shared" si="11"/>
        <v>5355000</v>
      </c>
      <c r="R29" s="126">
        <f t="shared" si="11"/>
        <v>6554350.6400000015</v>
      </c>
      <c r="S29" s="127">
        <f t="shared" si="11"/>
        <v>161010.01170227703</v>
      </c>
      <c r="T29" s="128">
        <f t="shared" si="11"/>
        <v>0.99999999999999911</v>
      </c>
      <c r="U29" s="101">
        <f t="shared" si="11"/>
        <v>6296571.8499999978</v>
      </c>
      <c r="V29" s="129">
        <f>SUM(V9:V27)</f>
        <v>1839801.05203665</v>
      </c>
    </row>
    <row r="30" spans="1:22" ht="15" customHeight="1" x14ac:dyDescent="0.25">
      <c r="A30" s="1"/>
      <c r="C30" s="2" t="s">
        <v>83</v>
      </c>
      <c r="D30" s="3">
        <v>46082</v>
      </c>
      <c r="E30" s="4"/>
      <c r="F30" s="5"/>
      <c r="M30" s="6"/>
      <c r="N30" s="6"/>
      <c r="O30" s="6"/>
      <c r="P30" s="6"/>
      <c r="Q30" s="24"/>
      <c r="R30" s="15"/>
      <c r="S30" s="25">
        <f>+S29/2</f>
        <v>80505.005851138514</v>
      </c>
    </row>
    <row r="31" spans="1:22" ht="15" customHeight="1" x14ac:dyDescent="0.25">
      <c r="A31" s="1"/>
      <c r="B31" s="8"/>
      <c r="C31" s="9" t="s">
        <v>0</v>
      </c>
      <c r="D31" s="10">
        <v>52397</v>
      </c>
      <c r="E31" s="4"/>
      <c r="F31" s="16"/>
      <c r="G31" s="16"/>
      <c r="H31" s="16"/>
      <c r="I31" s="16"/>
      <c r="J31" s="16"/>
      <c r="K31" s="15"/>
      <c r="L31" s="16"/>
      <c r="M31" s="16"/>
      <c r="N31" s="131">
        <f>+N30-N29</f>
        <v>-16264149.82670228</v>
      </c>
      <c r="O31" s="131"/>
      <c r="P31" s="15"/>
    </row>
    <row r="32" spans="1:22" ht="15" customHeight="1" x14ac:dyDescent="0.25">
      <c r="A32" s="1"/>
      <c r="B32" s="1"/>
      <c r="C32" s="19" t="s">
        <v>3</v>
      </c>
      <c r="D32" s="20">
        <v>40000</v>
      </c>
      <c r="E32" s="4"/>
      <c r="K32" s="24"/>
    </row>
    <row r="33" spans="1:19" ht="15" customHeight="1" x14ac:dyDescent="0.25">
      <c r="A33" s="1"/>
      <c r="B33" s="1"/>
      <c r="C33" s="19" t="s">
        <v>5</v>
      </c>
      <c r="D33" s="20">
        <v>91356</v>
      </c>
      <c r="E33" s="4"/>
      <c r="F33" s="133"/>
      <c r="M33" s="29" t="s">
        <v>8</v>
      </c>
      <c r="N33" s="30">
        <v>65970.33</v>
      </c>
      <c r="O33" s="134"/>
      <c r="P33" s="6"/>
      <c r="Q33" s="6"/>
      <c r="R33" s="24"/>
      <c r="S33" s="25"/>
    </row>
    <row r="34" spans="1:19" ht="15" customHeight="1" x14ac:dyDescent="0.25">
      <c r="A34" s="1"/>
      <c r="B34" s="1"/>
      <c r="C34" s="19" t="s">
        <v>10</v>
      </c>
      <c r="D34" s="20">
        <v>7863</v>
      </c>
      <c r="E34" s="4"/>
    </row>
    <row r="35" spans="1:19" ht="15" customHeight="1" x14ac:dyDescent="0.25">
      <c r="A35" s="1"/>
      <c r="B35" s="1"/>
      <c r="C35" s="19" t="s">
        <v>13</v>
      </c>
      <c r="D35" s="20">
        <v>28624</v>
      </c>
      <c r="E35" s="4"/>
      <c r="M35" s="29" t="s">
        <v>85</v>
      </c>
      <c r="N35" s="30">
        <v>100000</v>
      </c>
      <c r="O35" s="134"/>
      <c r="P35" s="6"/>
    </row>
    <row r="36" spans="1:19" ht="15" customHeight="1" x14ac:dyDescent="0.25">
      <c r="A36" s="1"/>
      <c r="B36" s="1"/>
      <c r="C36" s="19" t="s">
        <v>16</v>
      </c>
      <c r="D36" s="20">
        <v>87830</v>
      </c>
      <c r="E36" s="4"/>
    </row>
    <row r="37" spans="1:19" ht="15" customHeight="1" x14ac:dyDescent="0.25">
      <c r="A37" s="1"/>
      <c r="B37" s="1"/>
      <c r="C37" s="19" t="s">
        <v>20</v>
      </c>
      <c r="D37" s="20">
        <v>87240</v>
      </c>
      <c r="E37" s="4"/>
    </row>
    <row r="38" spans="1:19" ht="15" customHeight="1" x14ac:dyDescent="0.25">
      <c r="A38" s="1"/>
      <c r="B38" s="1"/>
      <c r="C38" s="19" t="s">
        <v>24</v>
      </c>
      <c r="D38" s="20">
        <v>22727.69</v>
      </c>
      <c r="E38" s="4"/>
    </row>
    <row r="39" spans="1:19" ht="15" customHeight="1" x14ac:dyDescent="0.25">
      <c r="A39" s="1"/>
      <c r="B39" s="1"/>
      <c r="C39" s="19" t="s">
        <v>29</v>
      </c>
      <c r="D39" s="20">
        <v>50000</v>
      </c>
      <c r="E39" s="4"/>
    </row>
    <row r="40" spans="1:19" ht="15" customHeight="1" x14ac:dyDescent="0.25">
      <c r="A40" s="1"/>
      <c r="B40" s="1"/>
      <c r="C40" s="19" t="s">
        <v>89</v>
      </c>
      <c r="D40" s="20"/>
      <c r="E40" s="4"/>
    </row>
    <row r="41" spans="1:19" ht="15" customHeight="1" x14ac:dyDescent="0.25">
      <c r="A41" s="1"/>
      <c r="B41" s="1"/>
      <c r="C41" s="53"/>
      <c r="D41" s="54">
        <f>SUM(D31:D40)</f>
        <v>468037.69</v>
      </c>
      <c r="E41" s="21"/>
    </row>
    <row r="42" spans="1:19" ht="15" customHeight="1" x14ac:dyDescent="0.25">
      <c r="A42" s="1"/>
      <c r="B42" s="1"/>
      <c r="C42" s="59" t="s">
        <v>39</v>
      </c>
      <c r="D42" s="60">
        <f>+D41/2</f>
        <v>234018.845</v>
      </c>
      <c r="E42" s="21"/>
    </row>
    <row r="43" spans="1:19" ht="15" customHeight="1" x14ac:dyDescent="0.25">
      <c r="A43" s="1"/>
      <c r="B43" s="36"/>
      <c r="C43" s="59" t="s">
        <v>41</v>
      </c>
      <c r="D43" s="61">
        <v>0</v>
      </c>
      <c r="E43" s="4"/>
    </row>
    <row r="44" spans="1:19" ht="15" customHeight="1" x14ac:dyDescent="0.25">
      <c r="A44" s="1"/>
      <c r="B44" s="1"/>
      <c r="C44" s="59" t="s">
        <v>42</v>
      </c>
      <c r="D44" s="61">
        <f>13000*3*4</f>
        <v>156000</v>
      </c>
      <c r="E44" s="4"/>
    </row>
    <row r="45" spans="1:19" ht="15" customHeight="1" x14ac:dyDescent="0.25">
      <c r="A45" s="65"/>
      <c r="B45" s="65"/>
      <c r="C45" s="66" t="s">
        <v>44</v>
      </c>
      <c r="D45" s="67">
        <f>+D42+D44+D43</f>
        <v>390018.84499999997</v>
      </c>
      <c r="E45" s="68"/>
      <c r="F45" s="69"/>
      <c r="G45" s="69"/>
      <c r="H45" s="69"/>
      <c r="I45" s="69"/>
      <c r="J45" s="69"/>
      <c r="K45" s="69"/>
      <c r="L45" s="69"/>
      <c r="M45" s="70"/>
      <c r="N45" s="69"/>
      <c r="O45" s="69"/>
      <c r="P45" s="70"/>
      <c r="Q45" s="69"/>
      <c r="R45" s="69"/>
      <c r="S45" s="71"/>
    </row>
    <row r="46" spans="1:19" ht="15.75" customHeight="1" x14ac:dyDescent="0.25"/>
    <row r="47" spans="1:19" ht="15.75" customHeight="1" x14ac:dyDescent="0.25"/>
    <row r="48" spans="1:19" ht="15" customHeight="1" x14ac:dyDescent="0.25">
      <c r="S48">
        <v>190000</v>
      </c>
    </row>
    <row r="49" spans="19:19" ht="15" customHeight="1" x14ac:dyDescent="0.25">
      <c r="S49">
        <v>86500</v>
      </c>
    </row>
    <row r="50" spans="19:19" ht="15" customHeight="1" x14ac:dyDescent="0.25">
      <c r="S50">
        <f>SUM(S48:S49)</f>
        <v>276500</v>
      </c>
    </row>
    <row r="51" spans="19:19" ht="15.75" customHeight="1" x14ac:dyDescent="0.25"/>
    <row r="52" spans="19:19" ht="15.75" customHeight="1" x14ac:dyDescent="0.25"/>
    <row r="53" spans="19:19" ht="15.75" customHeight="1" x14ac:dyDescent="0.25"/>
    <row r="54" spans="19:19" ht="15.75" customHeight="1" x14ac:dyDescent="0.25"/>
    <row r="55" spans="19:19" ht="15.75" customHeight="1" x14ac:dyDescent="0.25"/>
    <row r="56" spans="19:19" ht="15.75" customHeight="1" x14ac:dyDescent="0.25"/>
    <row r="57" spans="19:19" ht="15.75" customHeight="1" x14ac:dyDescent="0.25"/>
    <row r="58" spans="19:19" ht="15.75" customHeight="1" x14ac:dyDescent="0.25"/>
    <row r="59" spans="19:19" ht="15.75" customHeight="1" x14ac:dyDescent="0.25"/>
    <row r="60" spans="19:19" ht="15.75" customHeight="1" x14ac:dyDescent="0.25"/>
    <row r="61" spans="19:19" ht="15.75" customHeight="1" x14ac:dyDescent="0.25"/>
    <row r="62" spans="19:19" ht="15.75" customHeight="1" x14ac:dyDescent="0.25"/>
    <row r="63" spans="19:19" ht="15.75" customHeight="1" x14ac:dyDescent="0.25"/>
    <row r="64" spans="19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5:N5"/>
  </mergeCells>
  <pageMargins left="0.15763888888888899" right="0.15763888888888899" top="7.8472222222222193E-2" bottom="0" header="0.511811023622047" footer="0.511811023622047"/>
  <pageSetup paperSize="9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000"/>
  <sheetViews>
    <sheetView zoomScaleNormal="100" workbookViewId="0"/>
  </sheetViews>
  <sheetFormatPr baseColWidth="10" defaultColWidth="14.42578125" defaultRowHeight="15" x14ac:dyDescent="0.25"/>
  <cols>
    <col min="1" max="3" width="10.7109375" customWidth="1"/>
    <col min="4" max="4" width="37.7109375" customWidth="1"/>
    <col min="5" max="26" width="10.7109375" customWidth="1"/>
  </cols>
  <sheetData>
    <row r="3" spans="2:4" x14ac:dyDescent="0.25">
      <c r="C3" s="165" t="s">
        <v>96</v>
      </c>
      <c r="D3" s="166" t="s">
        <v>97</v>
      </c>
    </row>
    <row r="4" spans="2:4" x14ac:dyDescent="0.25">
      <c r="B4" s="104" t="s">
        <v>65</v>
      </c>
      <c r="C4" t="s">
        <v>98</v>
      </c>
      <c r="D4" s="167" t="s">
        <v>99</v>
      </c>
    </row>
    <row r="5" spans="2:4" x14ac:dyDescent="0.25">
      <c r="B5" s="104" t="s">
        <v>66</v>
      </c>
      <c r="C5" t="s">
        <v>100</v>
      </c>
      <c r="D5" s="167" t="s">
        <v>101</v>
      </c>
    </row>
    <row r="6" spans="2:4" x14ac:dyDescent="0.25">
      <c r="B6" s="104" t="s">
        <v>67</v>
      </c>
      <c r="C6" t="s">
        <v>102</v>
      </c>
      <c r="D6" s="168"/>
    </row>
    <row r="7" spans="2:4" x14ac:dyDescent="0.25">
      <c r="B7" s="104" t="s">
        <v>68</v>
      </c>
      <c r="C7" t="s">
        <v>103</v>
      </c>
      <c r="D7" s="167" t="s">
        <v>104</v>
      </c>
    </row>
    <row r="8" spans="2:4" x14ac:dyDescent="0.25">
      <c r="B8" s="104" t="s">
        <v>69</v>
      </c>
      <c r="C8" t="s">
        <v>98</v>
      </c>
      <c r="D8" s="169" t="s">
        <v>105</v>
      </c>
    </row>
    <row r="9" spans="2:4" x14ac:dyDescent="0.25">
      <c r="B9" s="104" t="s">
        <v>70</v>
      </c>
      <c r="C9" t="s">
        <v>103</v>
      </c>
      <c r="D9" s="167" t="s">
        <v>106</v>
      </c>
    </row>
    <row r="10" spans="2:4" x14ac:dyDescent="0.25">
      <c r="B10" s="104" t="s">
        <v>71</v>
      </c>
    </row>
    <row r="11" spans="2:4" x14ac:dyDescent="0.25">
      <c r="B11" s="104" t="s">
        <v>72</v>
      </c>
      <c r="C11" t="s">
        <v>103</v>
      </c>
      <c r="D11" s="170">
        <v>4.5300008000121099E+21</v>
      </c>
    </row>
    <row r="12" spans="2:4" x14ac:dyDescent="0.25">
      <c r="B12" s="104" t="s">
        <v>73</v>
      </c>
      <c r="C12" t="s">
        <v>107</v>
      </c>
      <c r="D12" s="167" t="s">
        <v>108</v>
      </c>
    </row>
    <row r="13" spans="2:4" x14ac:dyDescent="0.25">
      <c r="B13" s="104" t="s">
        <v>91</v>
      </c>
      <c r="C13" t="s">
        <v>103</v>
      </c>
      <c r="D13" s="167" t="s">
        <v>109</v>
      </c>
    </row>
    <row r="14" spans="2:4" x14ac:dyDescent="0.25">
      <c r="B14" s="104" t="s">
        <v>74</v>
      </c>
      <c r="C14" t="s">
        <v>103</v>
      </c>
      <c r="D14" s="167" t="s">
        <v>110</v>
      </c>
    </row>
    <row r="15" spans="2:4" x14ac:dyDescent="0.25">
      <c r="B15" s="104" t="s">
        <v>94</v>
      </c>
      <c r="C15" t="s">
        <v>100</v>
      </c>
      <c r="D15" s="167" t="s">
        <v>111</v>
      </c>
    </row>
    <row r="16" spans="2:4" x14ac:dyDescent="0.25">
      <c r="B16" s="104" t="s">
        <v>75</v>
      </c>
      <c r="C16" t="s">
        <v>103</v>
      </c>
      <c r="D16" s="167" t="s">
        <v>112</v>
      </c>
    </row>
    <row r="17" spans="2:4" x14ac:dyDescent="0.25">
      <c r="B17" s="104" t="s">
        <v>76</v>
      </c>
      <c r="C17" t="s">
        <v>103</v>
      </c>
      <c r="D17" s="168"/>
    </row>
    <row r="18" spans="2:4" x14ac:dyDescent="0.25">
      <c r="B18" s="104" t="s">
        <v>77</v>
      </c>
      <c r="C18" t="s">
        <v>103</v>
      </c>
      <c r="D18" s="167" t="s">
        <v>113</v>
      </c>
    </row>
    <row r="19" spans="2:4" x14ac:dyDescent="0.25">
      <c r="B19" s="104" t="s">
        <v>78</v>
      </c>
      <c r="C19" t="s">
        <v>100</v>
      </c>
      <c r="D19" s="167" t="s">
        <v>114</v>
      </c>
    </row>
    <row r="20" spans="2:4" x14ac:dyDescent="0.25">
      <c r="B20" s="104" t="s">
        <v>79</v>
      </c>
      <c r="C20" t="s">
        <v>100</v>
      </c>
      <c r="D20" s="167" t="s">
        <v>115</v>
      </c>
    </row>
    <row r="21" spans="2:4" ht="15.75" customHeight="1" x14ac:dyDescent="0.25">
      <c r="B21" s="104" t="s">
        <v>80</v>
      </c>
      <c r="C21" t="s">
        <v>103</v>
      </c>
      <c r="D21" s="167" t="s">
        <v>116</v>
      </c>
    </row>
    <row r="22" spans="2:4" ht="15.75" customHeight="1" x14ac:dyDescent="0.25">
      <c r="B22" s="104" t="s">
        <v>81</v>
      </c>
      <c r="C22" t="s">
        <v>100</v>
      </c>
      <c r="D22" s="167" t="s">
        <v>117</v>
      </c>
    </row>
    <row r="23" spans="2:4" ht="15.75" customHeight="1" x14ac:dyDescent="0.25">
      <c r="B23" s="104" t="s">
        <v>82</v>
      </c>
    </row>
    <row r="24" spans="2:4" ht="15.75" customHeight="1" x14ac:dyDescent="0.25"/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W1000"/>
  <sheetViews>
    <sheetView zoomScaleNormal="100"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x14ac:dyDescent="0.25"/>
  <cols>
    <col min="1" max="1" width="3.140625" customWidth="1"/>
    <col min="2" max="2" width="12.85546875" customWidth="1"/>
    <col min="3" max="3" width="20" customWidth="1"/>
    <col min="5" max="5" width="14.7109375" customWidth="1"/>
    <col min="6" max="6" width="12.85546875" customWidth="1"/>
    <col min="7" max="7" width="13.140625" customWidth="1"/>
    <col min="8" max="8" width="13.42578125" customWidth="1"/>
    <col min="9" max="9" width="14" customWidth="1"/>
    <col min="10" max="10" width="14.140625" customWidth="1"/>
    <col min="11" max="11" width="15.7109375" customWidth="1"/>
    <col min="12" max="12" width="14.28515625" customWidth="1"/>
    <col min="13" max="13" width="13.7109375" customWidth="1"/>
    <col min="14" max="14" width="18.28515625" customWidth="1"/>
    <col min="15" max="15" width="7.42578125" customWidth="1"/>
    <col min="16" max="16" width="20.5703125" customWidth="1"/>
    <col min="17" max="17" width="17" customWidth="1"/>
    <col min="18" max="18" width="18" customWidth="1"/>
    <col min="19" max="19" width="28.7109375" customWidth="1"/>
    <col min="20" max="20" width="17.85546875" customWidth="1"/>
    <col min="21" max="21" width="20.5703125" customWidth="1"/>
    <col min="22" max="22" width="16" customWidth="1"/>
    <col min="23" max="26" width="11.7109375" customWidth="1"/>
  </cols>
  <sheetData>
    <row r="3" spans="1:23" ht="15" customHeight="1" x14ac:dyDescent="0.25">
      <c r="D3" s="72">
        <f>+D4/48*40</f>
        <v>889390</v>
      </c>
      <c r="E3" s="73">
        <f>+D3*A8*0.01*0</f>
        <v>0</v>
      </c>
      <c r="F3" s="72">
        <f>+(D3+E3)*8.33/100</f>
        <v>74086.187000000005</v>
      </c>
      <c r="G3" s="74"/>
      <c r="H3" s="72">
        <f>+D3+E3+F3+G3</f>
        <v>963476.18700000003</v>
      </c>
      <c r="I3" s="75">
        <f>+H3*0.195+J3*0.055</f>
        <v>193256.74022662503</v>
      </c>
      <c r="J3" s="76">
        <f>J4*1.0833/48*40</f>
        <v>97797.886574999997</v>
      </c>
      <c r="K3" s="77">
        <f>+H3-I3+J3</f>
        <v>868017.33334837505</v>
      </c>
    </row>
    <row r="4" spans="1:23" ht="15" customHeight="1" x14ac:dyDescent="0.25">
      <c r="C4" s="79" t="s">
        <v>46</v>
      </c>
      <c r="D4" s="72">
        <f>+C7</f>
        <v>1067268</v>
      </c>
      <c r="E4" s="73">
        <v>0</v>
      </c>
      <c r="F4" s="72">
        <f>+(D4+E4)*8.33/100</f>
        <v>88903.424399999989</v>
      </c>
      <c r="G4" s="80">
        <v>0</v>
      </c>
      <c r="H4" s="72">
        <f>+D4+E4+F4+G4</f>
        <v>1156171.4243999999</v>
      </c>
      <c r="I4" s="75">
        <f>+H4*0.195+J4*0.055</f>
        <v>231411.75925799998</v>
      </c>
      <c r="J4" s="76">
        <f>(40000+60000)*1.083333</f>
        <v>108333.3</v>
      </c>
      <c r="K4" s="77">
        <f>+H4-I4+J4</f>
        <v>1033092.965142</v>
      </c>
    </row>
    <row r="5" spans="1:23" ht="15" customHeight="1" x14ac:dyDescent="0.25">
      <c r="B5" s="182" t="s">
        <v>118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81"/>
    </row>
    <row r="6" spans="1:23" ht="15" customHeight="1" x14ac:dyDescent="0.25">
      <c r="A6" s="8"/>
      <c r="B6" s="82">
        <v>45962</v>
      </c>
      <c r="C6" s="158">
        <f>+C7</f>
        <v>1067268</v>
      </c>
      <c r="D6" s="84"/>
      <c r="E6" s="15"/>
      <c r="F6" s="85"/>
      <c r="G6" s="15"/>
      <c r="H6" s="16"/>
      <c r="I6" s="86"/>
      <c r="J6" s="86"/>
      <c r="K6" s="87"/>
      <c r="L6" s="16"/>
      <c r="M6" s="16"/>
      <c r="N6" s="16"/>
      <c r="O6" s="16"/>
      <c r="P6" s="16"/>
      <c r="Q6" s="88"/>
      <c r="R6" s="4"/>
      <c r="S6" s="4"/>
    </row>
    <row r="7" spans="1:23" ht="15" customHeight="1" x14ac:dyDescent="0.25">
      <c r="A7" s="1"/>
      <c r="B7" s="89" t="s">
        <v>48</v>
      </c>
      <c r="C7" s="90">
        <v>1067268</v>
      </c>
      <c r="J7" s="91"/>
      <c r="K7" s="24"/>
    </row>
    <row r="8" spans="1:23" ht="15" customHeight="1" x14ac:dyDescent="0.25">
      <c r="A8" s="92"/>
      <c r="B8" s="93"/>
      <c r="C8" s="94" t="s">
        <v>49</v>
      </c>
      <c r="D8" s="94" t="s">
        <v>50</v>
      </c>
      <c r="E8" s="94" t="s">
        <v>51</v>
      </c>
      <c r="F8" s="94" t="s">
        <v>52</v>
      </c>
      <c r="G8" s="95" t="s">
        <v>53</v>
      </c>
      <c r="H8" s="96" t="s">
        <v>54</v>
      </c>
      <c r="I8" s="94" t="s">
        <v>55</v>
      </c>
      <c r="J8" s="94" t="s">
        <v>56</v>
      </c>
      <c r="K8" s="94" t="s">
        <v>57</v>
      </c>
      <c r="L8" s="94" t="s">
        <v>58</v>
      </c>
      <c r="M8" s="94" t="s">
        <v>59</v>
      </c>
      <c r="N8" s="97" t="s">
        <v>60</v>
      </c>
      <c r="O8" s="97" t="s">
        <v>61</v>
      </c>
      <c r="P8" s="98" t="s">
        <v>62</v>
      </c>
      <c r="Q8" s="98" t="s">
        <v>62</v>
      </c>
      <c r="R8" s="98" t="s">
        <v>62</v>
      </c>
      <c r="S8" s="99" t="s">
        <v>63</v>
      </c>
      <c r="T8" s="100">
        <f>+S29</f>
        <v>81670.501677962122</v>
      </c>
      <c r="U8" s="101">
        <f>5700000+300000</f>
        <v>6000000</v>
      </c>
      <c r="V8" s="102" t="s">
        <v>64</v>
      </c>
    </row>
    <row r="9" spans="1:23" ht="15" customHeight="1" x14ac:dyDescent="0.25">
      <c r="A9" s="103">
        <v>14</v>
      </c>
      <c r="B9" s="104" t="s">
        <v>65</v>
      </c>
      <c r="C9" s="105">
        <v>40664</v>
      </c>
      <c r="D9" s="106">
        <f>+C7/48*40</f>
        <v>889390</v>
      </c>
      <c r="E9" s="107">
        <f t="shared" ref="E9:E28" si="0">+D9*A9*0.01</f>
        <v>124514.6</v>
      </c>
      <c r="F9" s="106">
        <f t="shared" ref="F9:F17" si="1">+(D9+E9)*8.33/100</f>
        <v>84458.25318</v>
      </c>
      <c r="G9" s="108">
        <f>+G4</f>
        <v>0</v>
      </c>
      <c r="H9" s="109">
        <f t="shared" ref="H9:H28" si="2">+D9+E9+F9+G9</f>
        <v>1098362.8531800001</v>
      </c>
      <c r="I9" s="110">
        <f t="shared" ref="I9:I24" si="3">+H9*0.195+J9*0.055</f>
        <v>219559.64013172503</v>
      </c>
      <c r="J9" s="111">
        <f>+J4/48*40*1.0833</f>
        <v>97797.886574999997</v>
      </c>
      <c r="K9" s="112">
        <f t="shared" ref="K9:K28" si="4">+H9-I9+J9</f>
        <v>976601.09962327511</v>
      </c>
      <c r="L9" s="113">
        <v>8</v>
      </c>
      <c r="M9" s="111">
        <f t="shared" ref="M9:M28" si="5">+K9/8*L9</f>
        <v>976601.09962327511</v>
      </c>
      <c r="N9" s="114">
        <f>+M9*1.0833</f>
        <v>1057951.9712218938</v>
      </c>
      <c r="O9" s="115"/>
      <c r="P9" s="164">
        <f>+D45+200000+200000</f>
        <v>685254.5</v>
      </c>
      <c r="Q9" s="110">
        <v>200000</v>
      </c>
      <c r="R9" s="110">
        <v>91026.97</v>
      </c>
      <c r="S9" s="78">
        <f>+N9-P9-Q9-R9</f>
        <v>81670.501221893792</v>
      </c>
      <c r="T9" s="6">
        <f>+S9/T8</f>
        <v>0.99999999441575205</v>
      </c>
      <c r="U9" s="24">
        <f>+T9*U8</f>
        <v>5999999.9664945127</v>
      </c>
      <c r="V9" s="116">
        <f>+M9/2</f>
        <v>488300.54981163755</v>
      </c>
      <c r="W9">
        <v>88600</v>
      </c>
    </row>
    <row r="10" spans="1:23" ht="15" customHeight="1" x14ac:dyDescent="0.25">
      <c r="A10" s="103">
        <v>12</v>
      </c>
      <c r="B10" s="104" t="s">
        <v>66</v>
      </c>
      <c r="C10" s="105">
        <v>41529</v>
      </c>
      <c r="D10" s="106">
        <f t="shared" ref="D10:D18" si="6">+D9</f>
        <v>889390</v>
      </c>
      <c r="E10" s="107">
        <f t="shared" si="0"/>
        <v>106726.8</v>
      </c>
      <c r="F10" s="106">
        <f t="shared" si="1"/>
        <v>82976.529439999998</v>
      </c>
      <c r="G10" s="108">
        <f>+G9</f>
        <v>0</v>
      </c>
      <c r="H10" s="109">
        <f t="shared" si="2"/>
        <v>1079093.32944</v>
      </c>
      <c r="I10" s="110">
        <f t="shared" si="3"/>
        <v>215802.083002425</v>
      </c>
      <c r="J10" s="111">
        <f t="shared" ref="J10:J18" si="7">+J9</f>
        <v>97797.886574999997</v>
      </c>
      <c r="K10" s="112">
        <f t="shared" si="4"/>
        <v>961089.13301257498</v>
      </c>
      <c r="L10" s="113">
        <v>8</v>
      </c>
      <c r="M10" s="111">
        <f t="shared" si="5"/>
        <v>961089.13301257498</v>
      </c>
      <c r="N10" s="171">
        <f>+M10*1.0833/30*27</f>
        <v>937033.07201327011</v>
      </c>
      <c r="O10" s="115">
        <v>3</v>
      </c>
      <c r="P10" s="164">
        <f>50000+180000+60000+125000+70000</f>
        <v>485000</v>
      </c>
      <c r="Q10" s="110">
        <f>13500+350000</f>
        <v>363500</v>
      </c>
      <c r="R10" s="110">
        <v>88533.07</v>
      </c>
      <c r="S10" s="172">
        <f>+N10-P10-Q10-R10</f>
        <v>2.0132701029069722E-3</v>
      </c>
      <c r="T10" s="6">
        <f>+S10/T8</f>
        <v>2.4651129374049513E-8</v>
      </c>
      <c r="U10" s="24">
        <f>+T10*U8</f>
        <v>0.14790677624429707</v>
      </c>
      <c r="V10" s="154">
        <f>+M10/2</f>
        <v>480544.56650628749</v>
      </c>
      <c r="W10">
        <v>54500</v>
      </c>
    </row>
    <row r="11" spans="1:23" ht="15" customHeight="1" x14ac:dyDescent="0.25">
      <c r="A11" s="103">
        <v>2</v>
      </c>
      <c r="B11" s="104" t="s">
        <v>67</v>
      </c>
      <c r="C11" s="105">
        <v>45017</v>
      </c>
      <c r="D11" s="106">
        <f t="shared" si="6"/>
        <v>889390</v>
      </c>
      <c r="E11" s="107">
        <f t="shared" si="0"/>
        <v>17787.8</v>
      </c>
      <c r="F11" s="106">
        <f t="shared" si="1"/>
        <v>75567.910740000007</v>
      </c>
      <c r="G11" s="108">
        <f>+G10</f>
        <v>0</v>
      </c>
      <c r="H11" s="109">
        <f t="shared" si="2"/>
        <v>982745.71074000001</v>
      </c>
      <c r="I11" s="110">
        <f t="shared" si="3"/>
        <v>197014.29735592502</v>
      </c>
      <c r="J11" s="111">
        <f t="shared" si="7"/>
        <v>97797.886574999997</v>
      </c>
      <c r="K11" s="112">
        <f t="shared" si="4"/>
        <v>883529.29995907506</v>
      </c>
      <c r="L11" s="113">
        <v>8</v>
      </c>
      <c r="M11" s="111">
        <f t="shared" si="5"/>
        <v>883529.29995907506</v>
      </c>
      <c r="N11" s="114">
        <f>+M11*1.0833</f>
        <v>957127.29064566595</v>
      </c>
      <c r="O11" s="115"/>
      <c r="P11" s="110">
        <f>190000+70000+200000</f>
        <v>460000</v>
      </c>
      <c r="Q11" s="110">
        <v>390000</v>
      </c>
      <c r="R11" s="110">
        <v>107127.29</v>
      </c>
      <c r="S11" s="78">
        <f>+N11-P11-Q11-R11</f>
        <v>6.4566596120130271E-4</v>
      </c>
      <c r="T11" s="6">
        <f>+S11/T8</f>
        <v>7.9057425623176801E-9</v>
      </c>
      <c r="U11" s="24">
        <f>+T11*U8</f>
        <v>4.743445537390608E-2</v>
      </c>
      <c r="V11" s="116"/>
      <c r="W11">
        <v>57100</v>
      </c>
    </row>
    <row r="12" spans="1:23" ht="15" customHeight="1" x14ac:dyDescent="0.25">
      <c r="A12" s="103">
        <v>10</v>
      </c>
      <c r="B12" s="104" t="s">
        <v>68</v>
      </c>
      <c r="C12" s="105">
        <v>42269</v>
      </c>
      <c r="D12" s="106">
        <f t="shared" si="6"/>
        <v>889390</v>
      </c>
      <c r="E12" s="107">
        <f t="shared" si="0"/>
        <v>88939</v>
      </c>
      <c r="F12" s="106">
        <f t="shared" si="1"/>
        <v>81494.805699999997</v>
      </c>
      <c r="G12" s="108">
        <f>+G11</f>
        <v>0</v>
      </c>
      <c r="H12" s="109">
        <f t="shared" si="2"/>
        <v>1059823.8056999999</v>
      </c>
      <c r="I12" s="110">
        <f t="shared" si="3"/>
        <v>212044.52587312501</v>
      </c>
      <c r="J12" s="111">
        <f t="shared" si="7"/>
        <v>97797.886574999997</v>
      </c>
      <c r="K12" s="112">
        <f t="shared" si="4"/>
        <v>945577.16640187486</v>
      </c>
      <c r="L12" s="113">
        <v>4</v>
      </c>
      <c r="M12" s="111">
        <f t="shared" si="5"/>
        <v>472788.58320093743</v>
      </c>
      <c r="N12" s="114">
        <f>+M12*1.0833</f>
        <v>512171.87218157545</v>
      </c>
      <c r="O12" s="115"/>
      <c r="P12" s="164">
        <f>+N33+120000+100000</f>
        <v>277720</v>
      </c>
      <c r="Q12" s="110">
        <v>180000</v>
      </c>
      <c r="R12" s="110">
        <v>54451.87</v>
      </c>
      <c r="S12" s="172">
        <f>+(N12-P12-Q12-R12)*1</f>
        <v>2.1815754516865127E-3</v>
      </c>
      <c r="T12" s="6">
        <f>+S12/T8</f>
        <v>2.6711914422771161E-8</v>
      </c>
      <c r="U12" s="24">
        <f>+T12*U8*1</f>
        <v>0.16027148653662696</v>
      </c>
      <c r="V12" s="116"/>
      <c r="W12">
        <v>54500</v>
      </c>
    </row>
    <row r="13" spans="1:23" ht="15" customHeight="1" x14ac:dyDescent="0.25">
      <c r="A13" s="103">
        <v>1</v>
      </c>
      <c r="B13" s="104" t="s">
        <v>69</v>
      </c>
      <c r="C13" s="105">
        <v>45532</v>
      </c>
      <c r="D13" s="106">
        <f t="shared" si="6"/>
        <v>889390</v>
      </c>
      <c r="E13" s="107">
        <f t="shared" si="0"/>
        <v>8893.9</v>
      </c>
      <c r="F13" s="106">
        <f t="shared" si="1"/>
        <v>74827.048869999999</v>
      </c>
      <c r="G13" s="108">
        <f>5000*1.25*1.25*1.28*1.4*1.72*1.65*1.1806*1.1645*1.2*1.2*1.1</f>
        <v>86524.256441145611</v>
      </c>
      <c r="H13" s="109">
        <f t="shared" si="2"/>
        <v>1059635.2053111456</v>
      </c>
      <c r="I13" s="110">
        <f t="shared" si="3"/>
        <v>212007.74879729841</v>
      </c>
      <c r="J13" s="111">
        <f t="shared" si="7"/>
        <v>97797.886574999997</v>
      </c>
      <c r="K13" s="112">
        <f t="shared" si="4"/>
        <v>945425.34308884724</v>
      </c>
      <c r="L13" s="113">
        <v>4</v>
      </c>
      <c r="M13" s="111">
        <f t="shared" si="5"/>
        <v>472712.67154442362</v>
      </c>
      <c r="N13" s="114">
        <f>+M13*1.0833</f>
        <v>512089.63708407409</v>
      </c>
      <c r="O13" s="115"/>
      <c r="P13" s="110">
        <f>140000+100000</f>
        <v>240000</v>
      </c>
      <c r="Q13" s="161">
        <v>215000</v>
      </c>
      <c r="R13" s="110">
        <v>57089.64</v>
      </c>
      <c r="S13" s="172">
        <f>+N13-P13-Q13-R13</f>
        <v>-2.915925913839601E-3</v>
      </c>
      <c r="T13" s="6">
        <f>+S13/T8</f>
        <v>-3.5703538657537487E-8</v>
      </c>
      <c r="U13" s="24">
        <f>+T13*U8</f>
        <v>-0.21422123194522494</v>
      </c>
      <c r="V13" s="116"/>
      <c r="W13">
        <v>0</v>
      </c>
    </row>
    <row r="14" spans="1:23" ht="15" customHeight="1" x14ac:dyDescent="0.25">
      <c r="A14" s="103">
        <v>5</v>
      </c>
      <c r="B14" s="104" t="s">
        <v>70</v>
      </c>
      <c r="C14" s="105">
        <v>43973</v>
      </c>
      <c r="D14" s="106">
        <f t="shared" si="6"/>
        <v>889390</v>
      </c>
      <c r="E14" s="107">
        <f t="shared" si="0"/>
        <v>44469.5</v>
      </c>
      <c r="F14" s="106">
        <f t="shared" si="1"/>
        <v>77790.496350000001</v>
      </c>
      <c r="G14" s="108">
        <f>+G12</f>
        <v>0</v>
      </c>
      <c r="H14" s="109">
        <f t="shared" si="2"/>
        <v>1011649.99635</v>
      </c>
      <c r="I14" s="110">
        <f t="shared" si="3"/>
        <v>202650.63304987503</v>
      </c>
      <c r="J14" s="111">
        <f t="shared" si="7"/>
        <v>97797.886574999997</v>
      </c>
      <c r="K14" s="112">
        <f t="shared" si="4"/>
        <v>906797.24987512501</v>
      </c>
      <c r="L14" s="113">
        <v>8</v>
      </c>
      <c r="M14" s="111">
        <f t="shared" si="5"/>
        <v>906797.24987512501</v>
      </c>
      <c r="N14" s="114">
        <f>+M14*1.0833/30*30</f>
        <v>982333.46078972286</v>
      </c>
      <c r="O14" s="115"/>
      <c r="P14" s="110">
        <f>260000+210000</f>
        <v>470000</v>
      </c>
      <c r="Q14" s="110">
        <v>400000</v>
      </c>
      <c r="R14" s="110">
        <v>112333.46</v>
      </c>
      <c r="S14" s="78">
        <f>+N14-P14-Q14-R14</f>
        <v>7.8972284973133355E-4</v>
      </c>
      <c r="T14" s="6">
        <f>+S14/T8</f>
        <v>9.6696216321202239E-9</v>
      </c>
      <c r="U14" s="24">
        <f>+T14*U8</f>
        <v>5.8017729792721344E-2</v>
      </c>
      <c r="V14" s="116"/>
      <c r="W14">
        <v>0</v>
      </c>
    </row>
    <row r="15" spans="1:23" ht="15" customHeight="1" x14ac:dyDescent="0.25">
      <c r="A15" s="103">
        <v>6</v>
      </c>
      <c r="B15" s="104" t="s">
        <v>71</v>
      </c>
      <c r="C15" s="105">
        <v>43846</v>
      </c>
      <c r="D15" s="106">
        <f t="shared" si="6"/>
        <v>889390</v>
      </c>
      <c r="E15" s="107">
        <f t="shared" si="0"/>
        <v>53363.4</v>
      </c>
      <c r="F15" s="106">
        <f t="shared" si="1"/>
        <v>78531.358220000009</v>
      </c>
      <c r="G15" s="108">
        <f t="shared" ref="G15:G27" si="8">+G14</f>
        <v>0</v>
      </c>
      <c r="H15" s="109">
        <f t="shared" si="2"/>
        <v>1021284.7582200001</v>
      </c>
      <c r="I15" s="110">
        <f t="shared" si="3"/>
        <v>204529.41161452504</v>
      </c>
      <c r="J15" s="111">
        <f t="shared" si="7"/>
        <v>97797.886574999997</v>
      </c>
      <c r="K15" s="112">
        <f t="shared" si="4"/>
        <v>914553.23318047507</v>
      </c>
      <c r="L15" s="113">
        <v>8</v>
      </c>
      <c r="M15" s="111">
        <f t="shared" si="5"/>
        <v>914553.23318047507</v>
      </c>
      <c r="N15" s="114">
        <f>+M15*1.0833</f>
        <v>990735.51750440861</v>
      </c>
      <c r="O15" s="115"/>
      <c r="P15" s="110">
        <f>260000+210000</f>
        <v>470000</v>
      </c>
      <c r="Q15" s="110">
        <v>410000</v>
      </c>
      <c r="R15" s="110">
        <v>110735.52</v>
      </c>
      <c r="S15" s="78">
        <f>+N15-P15-Q15-R15</f>
        <v>-2.4955913977464661E-3</v>
      </c>
      <c r="T15" s="6">
        <f>+S15/T8</f>
        <v>-3.0556827085340086E-8</v>
      </c>
      <c r="U15" s="24">
        <f>+T15*U8</f>
        <v>-0.18334096251204052</v>
      </c>
      <c r="V15" s="116"/>
      <c r="W15">
        <v>54500</v>
      </c>
    </row>
    <row r="16" spans="1:23" ht="15" customHeight="1" x14ac:dyDescent="0.25">
      <c r="A16" s="103">
        <v>5</v>
      </c>
      <c r="B16" s="104" t="s">
        <v>72</v>
      </c>
      <c r="C16" s="105">
        <v>43922</v>
      </c>
      <c r="D16" s="106">
        <f t="shared" si="6"/>
        <v>889390</v>
      </c>
      <c r="E16" s="107">
        <f t="shared" si="0"/>
        <v>44469.5</v>
      </c>
      <c r="F16" s="106">
        <f t="shared" si="1"/>
        <v>77790.496350000001</v>
      </c>
      <c r="G16" s="108">
        <f t="shared" si="8"/>
        <v>0</v>
      </c>
      <c r="H16" s="109">
        <f t="shared" si="2"/>
        <v>1011649.99635</v>
      </c>
      <c r="I16" s="110">
        <f t="shared" si="3"/>
        <v>202650.63304987503</v>
      </c>
      <c r="J16" s="111">
        <f t="shared" si="7"/>
        <v>97797.886574999997</v>
      </c>
      <c r="K16" s="112">
        <f t="shared" si="4"/>
        <v>906797.24987512501</v>
      </c>
      <c r="L16" s="113">
        <v>8</v>
      </c>
      <c r="M16" s="111">
        <f t="shared" si="5"/>
        <v>906797.24987512501</v>
      </c>
      <c r="N16" s="114">
        <f>+M16*1.0833</f>
        <v>982333.46078972286</v>
      </c>
      <c r="O16" s="115"/>
      <c r="P16" s="164">
        <f>150000+170000+50000+180000</f>
        <v>550000</v>
      </c>
      <c r="Q16" s="110">
        <v>340000</v>
      </c>
      <c r="R16" s="110">
        <v>92333.46</v>
      </c>
      <c r="S16" s="78">
        <f>+(N16-P16-Q16-R16)*1</f>
        <v>7.8972284973133355E-4</v>
      </c>
      <c r="T16" s="6">
        <f>+S16/T8</f>
        <v>9.6696216321202239E-9</v>
      </c>
      <c r="U16" s="24">
        <f>+T16*U8*1</f>
        <v>5.8017729792721344E-2</v>
      </c>
      <c r="V16" s="154">
        <f>+M16/2*0</f>
        <v>0</v>
      </c>
      <c r="W16">
        <v>32700</v>
      </c>
    </row>
    <row r="17" spans="1:23" ht="15" customHeight="1" x14ac:dyDescent="0.25">
      <c r="A17" s="103">
        <v>4</v>
      </c>
      <c r="B17" s="104" t="s">
        <v>73</v>
      </c>
      <c r="C17" s="105">
        <v>44567</v>
      </c>
      <c r="D17" s="106">
        <f t="shared" si="6"/>
        <v>889390</v>
      </c>
      <c r="E17" s="107">
        <f t="shared" si="0"/>
        <v>35575.599999999999</v>
      </c>
      <c r="F17" s="106">
        <f t="shared" si="1"/>
        <v>77049.634479999993</v>
      </c>
      <c r="G17" s="108">
        <f t="shared" si="8"/>
        <v>0</v>
      </c>
      <c r="H17" s="109">
        <f t="shared" si="2"/>
        <v>1002015.23448</v>
      </c>
      <c r="I17" s="110">
        <f t="shared" si="3"/>
        <v>200771.85448522502</v>
      </c>
      <c r="J17" s="111">
        <f t="shared" si="7"/>
        <v>97797.886574999997</v>
      </c>
      <c r="K17" s="112">
        <f t="shared" si="4"/>
        <v>899041.26656977495</v>
      </c>
      <c r="L17" s="113">
        <v>8</v>
      </c>
      <c r="M17" s="111">
        <f t="shared" si="5"/>
        <v>899041.26656977495</v>
      </c>
      <c r="N17" s="114">
        <f>+M17*1.0833</f>
        <v>973931.40407503711</v>
      </c>
      <c r="O17" s="115"/>
      <c r="P17" s="164">
        <f>50000+170000+50000+175000</f>
        <v>445000</v>
      </c>
      <c r="Q17" s="164">
        <f>50000+330000</f>
        <v>380000</v>
      </c>
      <c r="R17" s="164">
        <f>50000+98931.4</f>
        <v>148931.4</v>
      </c>
      <c r="S17" s="78">
        <f>+N17-P17-Q17-R17</f>
        <v>4.0750371117610484E-3</v>
      </c>
      <c r="T17" s="6">
        <f>+S17/T8</f>
        <v>4.9896070527758888E-8</v>
      </c>
      <c r="U17" s="24">
        <f>+T17*U8</f>
        <v>0.29937642316655333</v>
      </c>
      <c r="V17" s="116"/>
      <c r="W17">
        <v>52800</v>
      </c>
    </row>
    <row r="18" spans="1:23" ht="15" customHeight="1" x14ac:dyDescent="0.25">
      <c r="A18" s="103">
        <v>4</v>
      </c>
      <c r="B18" s="104" t="s">
        <v>91</v>
      </c>
      <c r="C18" s="105">
        <v>44567</v>
      </c>
      <c r="D18" s="106">
        <f t="shared" si="6"/>
        <v>889390</v>
      </c>
      <c r="E18" s="107">
        <f t="shared" si="0"/>
        <v>35575.599999999999</v>
      </c>
      <c r="F18" s="118">
        <f>+(D18+E18)*8.33/100*1</f>
        <v>77049.634479999993</v>
      </c>
      <c r="G18" s="108">
        <f t="shared" si="8"/>
        <v>0</v>
      </c>
      <c r="H18" s="109">
        <f t="shared" si="2"/>
        <v>1002015.23448</v>
      </c>
      <c r="I18" s="110">
        <f t="shared" si="3"/>
        <v>200771.85448522502</v>
      </c>
      <c r="J18" s="111">
        <f t="shared" si="7"/>
        <v>97797.886574999997</v>
      </c>
      <c r="K18" s="112">
        <f t="shared" si="4"/>
        <v>899041.26656977495</v>
      </c>
      <c r="L18" s="113">
        <v>8</v>
      </c>
      <c r="M18" s="111">
        <f t="shared" si="5"/>
        <v>899041.26656977495</v>
      </c>
      <c r="N18" s="171">
        <f>+M18*1.0833/30*29</f>
        <v>941467.02393920254</v>
      </c>
      <c r="O18" s="115">
        <v>1</v>
      </c>
      <c r="P18" s="164">
        <f>50000+170000+50000+175000</f>
        <v>445000</v>
      </c>
      <c r="Q18" s="110">
        <v>390000</v>
      </c>
      <c r="R18" s="110">
        <v>106467.02</v>
      </c>
      <c r="S18" s="78">
        <f>+N18-P18-Q18-R18</f>
        <v>3.9392025355482474E-3</v>
      </c>
      <c r="T18" s="6">
        <f>+S18/T8</f>
        <v>4.8232868105562252E-8</v>
      </c>
      <c r="U18" s="24">
        <f>+T18*U8</f>
        <v>0.28939720863337354</v>
      </c>
      <c r="V18" s="116"/>
      <c r="W18">
        <f>SUM(W9:W17)</f>
        <v>394700</v>
      </c>
    </row>
    <row r="19" spans="1:23" ht="15" customHeight="1" x14ac:dyDescent="0.25">
      <c r="A19" s="103">
        <v>2</v>
      </c>
      <c r="B19" s="104" t="s">
        <v>74</v>
      </c>
      <c r="C19" s="105">
        <v>45194</v>
      </c>
      <c r="D19" s="106">
        <f>+D17</f>
        <v>889390</v>
      </c>
      <c r="E19" s="107">
        <f t="shared" si="0"/>
        <v>17787.8</v>
      </c>
      <c r="F19" s="106">
        <f>+(D19+E19)*8.33/100</f>
        <v>75567.910740000007</v>
      </c>
      <c r="G19" s="108">
        <f t="shared" si="8"/>
        <v>0</v>
      </c>
      <c r="H19" s="109">
        <f t="shared" si="2"/>
        <v>982745.71074000001</v>
      </c>
      <c r="I19" s="110">
        <f t="shared" si="3"/>
        <v>197014.29735592502</v>
      </c>
      <c r="J19" s="111">
        <f>+J17</f>
        <v>97797.886574999997</v>
      </c>
      <c r="K19" s="112">
        <f t="shared" si="4"/>
        <v>883529.29995907506</v>
      </c>
      <c r="L19" s="113">
        <v>8</v>
      </c>
      <c r="M19" s="111">
        <f t="shared" si="5"/>
        <v>883529.29995907506</v>
      </c>
      <c r="N19" s="114">
        <f>+M19*1.0833</f>
        <v>957127.29064566595</v>
      </c>
      <c r="O19" s="115"/>
      <c r="P19" s="164">
        <f>88000+160000+60000+190000</f>
        <v>498000</v>
      </c>
      <c r="Q19" s="110">
        <v>360000</v>
      </c>
      <c r="R19" s="110">
        <v>99127.29</v>
      </c>
      <c r="S19" s="78">
        <f>+(N19-P19-Q19-R19)*1</f>
        <v>6.4566596120130271E-4</v>
      </c>
      <c r="T19" s="6">
        <f>+S19/T8</f>
        <v>7.9057425623176801E-9</v>
      </c>
      <c r="U19" s="24">
        <f>+T19*U8</f>
        <v>4.743445537390608E-2</v>
      </c>
      <c r="V19" s="154">
        <f>+M19/2*0</f>
        <v>0</v>
      </c>
    </row>
    <row r="20" spans="1:23" ht="15" customHeight="1" x14ac:dyDescent="0.25">
      <c r="A20" s="103">
        <v>0</v>
      </c>
      <c r="B20" s="104" t="s">
        <v>94</v>
      </c>
      <c r="C20" s="105">
        <v>45950</v>
      </c>
      <c r="D20" s="106">
        <f>+D18</f>
        <v>889390</v>
      </c>
      <c r="E20" s="107">
        <f t="shared" si="0"/>
        <v>0</v>
      </c>
      <c r="F20" s="118">
        <f>+(D20+E20)*8.33/100*1</f>
        <v>74086.187000000005</v>
      </c>
      <c r="G20" s="108">
        <f t="shared" si="8"/>
        <v>0</v>
      </c>
      <c r="H20" s="109">
        <f t="shared" si="2"/>
        <v>963476.18700000003</v>
      </c>
      <c r="I20" s="110">
        <f t="shared" si="3"/>
        <v>193256.74022662503</v>
      </c>
      <c r="J20" s="111">
        <f>+J18</f>
        <v>97797.886574999997</v>
      </c>
      <c r="K20" s="112">
        <f t="shared" si="4"/>
        <v>868017.33334837505</v>
      </c>
      <c r="L20" s="113">
        <v>4</v>
      </c>
      <c r="M20" s="111">
        <f t="shared" si="5"/>
        <v>434008.66667418752</v>
      </c>
      <c r="N20" s="171">
        <f>+M20*1.0833/30*29</f>
        <v>454489.53565454239</v>
      </c>
      <c r="O20" s="115">
        <v>1</v>
      </c>
      <c r="P20" s="110">
        <f>110000+100000</f>
        <v>210000</v>
      </c>
      <c r="Q20" s="110">
        <v>190000</v>
      </c>
      <c r="R20" s="110">
        <v>54489.54</v>
      </c>
      <c r="S20" s="172">
        <f>+N20-P20-Q20-R20</f>
        <v>-4.3454576152726077E-3</v>
      </c>
      <c r="T20" s="6">
        <f>+S20/T8</f>
        <v>-5.3207186511567383E-8</v>
      </c>
      <c r="U20" s="24">
        <f>+T20*U8</f>
        <v>-0.31924311906940428</v>
      </c>
      <c r="V20" s="116">
        <f>+M20/360*3*0</f>
        <v>0</v>
      </c>
    </row>
    <row r="21" spans="1:23" ht="15" customHeight="1" x14ac:dyDescent="0.25">
      <c r="A21" s="103">
        <v>1</v>
      </c>
      <c r="B21" s="104" t="s">
        <v>75</v>
      </c>
      <c r="C21" s="105">
        <v>45621</v>
      </c>
      <c r="D21" s="106">
        <f t="shared" ref="D21:D27" si="9">+D20</f>
        <v>889390</v>
      </c>
      <c r="E21" s="107">
        <f t="shared" si="0"/>
        <v>8893.9</v>
      </c>
      <c r="F21" s="106">
        <f>+(D21+E21)*8.33/100</f>
        <v>74827.048869999999</v>
      </c>
      <c r="G21" s="108">
        <f t="shared" si="8"/>
        <v>0</v>
      </c>
      <c r="H21" s="109">
        <f t="shared" si="2"/>
        <v>973110.94886999996</v>
      </c>
      <c r="I21" s="110">
        <f t="shared" si="3"/>
        <v>195135.51879127501</v>
      </c>
      <c r="J21" s="111">
        <f t="shared" ref="J21:J27" si="10">+J20</f>
        <v>97797.886574999997</v>
      </c>
      <c r="K21" s="112">
        <f t="shared" si="4"/>
        <v>875773.31665372499</v>
      </c>
      <c r="L21" s="113">
        <v>8</v>
      </c>
      <c r="M21" s="111">
        <f t="shared" si="5"/>
        <v>875773.31665372499</v>
      </c>
      <c r="N21" s="114">
        <f>+M21*1.0833</f>
        <v>948725.2339309802</v>
      </c>
      <c r="O21" s="115"/>
      <c r="P21" s="164">
        <f>100000+170000+60000+180000</f>
        <v>510000</v>
      </c>
      <c r="Q21" s="110">
        <v>350000</v>
      </c>
      <c r="R21" s="110">
        <v>88725.23</v>
      </c>
      <c r="S21" s="172">
        <f>+N21-P21-Q21-R21</f>
        <v>3.9309802086791024E-3</v>
      </c>
      <c r="T21" s="6">
        <f>+S21/T8</f>
        <v>4.8132191279777995E-8</v>
      </c>
      <c r="U21" s="24">
        <f>+T21*U8</f>
        <v>0.28879314767866798</v>
      </c>
      <c r="V21" s="116">
        <f>+M21/2</f>
        <v>437886.6583268625</v>
      </c>
    </row>
    <row r="22" spans="1:23" ht="15" customHeight="1" x14ac:dyDescent="0.25">
      <c r="A22" s="103">
        <v>1</v>
      </c>
      <c r="B22" s="104" t="s">
        <v>76</v>
      </c>
      <c r="C22" s="105">
        <v>45643</v>
      </c>
      <c r="D22" s="106">
        <f t="shared" si="9"/>
        <v>889390</v>
      </c>
      <c r="E22" s="107">
        <f t="shared" si="0"/>
        <v>8893.9</v>
      </c>
      <c r="F22" s="106">
        <f>+(D22+E22)*8.33/100</f>
        <v>74827.048869999999</v>
      </c>
      <c r="G22" s="108">
        <f t="shared" si="8"/>
        <v>0</v>
      </c>
      <c r="H22" s="109">
        <f t="shared" si="2"/>
        <v>973110.94886999996</v>
      </c>
      <c r="I22" s="110">
        <f t="shared" si="3"/>
        <v>195135.51879127501</v>
      </c>
      <c r="J22" s="111">
        <f t="shared" si="10"/>
        <v>97797.886574999997</v>
      </c>
      <c r="K22" s="156">
        <f t="shared" si="4"/>
        <v>875773.31665372499</v>
      </c>
      <c r="L22" s="113">
        <v>6</v>
      </c>
      <c r="M22" s="111">
        <f t="shared" si="5"/>
        <v>656829.9874902938</v>
      </c>
      <c r="N22" s="114">
        <f>+M22*1.0833/30*30</f>
        <v>711543.92544823524</v>
      </c>
      <c r="O22" s="115"/>
      <c r="P22" s="110">
        <f>140000+50000+150000</f>
        <v>340000</v>
      </c>
      <c r="Q22" s="110">
        <v>290000</v>
      </c>
      <c r="R22" s="110">
        <v>81543.929999999993</v>
      </c>
      <c r="S22" s="172">
        <f>+N22-P22-Q22-R22</f>
        <v>-4.5517647522501647E-3</v>
      </c>
      <c r="T22" s="6">
        <f>+S22/T8</f>
        <v>-5.5733277728578075E-8</v>
      </c>
      <c r="U22" s="24">
        <f>+T22*U8</f>
        <v>-0.33439966637146845</v>
      </c>
      <c r="V22" s="116"/>
    </row>
    <row r="23" spans="1:23" ht="15" customHeight="1" x14ac:dyDescent="0.25">
      <c r="A23" s="103">
        <v>0</v>
      </c>
      <c r="B23" s="104" t="s">
        <v>77</v>
      </c>
      <c r="C23" s="105">
        <v>45707</v>
      </c>
      <c r="D23" s="106">
        <f t="shared" si="9"/>
        <v>889390</v>
      </c>
      <c r="E23" s="107">
        <f t="shared" si="0"/>
        <v>0</v>
      </c>
      <c r="F23" s="118">
        <f>+(D23+E23)*8.33/100*0</f>
        <v>0</v>
      </c>
      <c r="G23" s="108">
        <f t="shared" si="8"/>
        <v>0</v>
      </c>
      <c r="H23" s="109">
        <f t="shared" si="2"/>
        <v>889390</v>
      </c>
      <c r="I23" s="110">
        <f t="shared" si="3"/>
        <v>178809.93376162503</v>
      </c>
      <c r="J23" s="111">
        <f t="shared" si="10"/>
        <v>97797.886574999997</v>
      </c>
      <c r="K23" s="156">
        <f t="shared" si="4"/>
        <v>808377.95281337493</v>
      </c>
      <c r="L23" s="113">
        <v>8</v>
      </c>
      <c r="M23" s="111">
        <f t="shared" si="5"/>
        <v>808377.95281337493</v>
      </c>
      <c r="N23" s="171">
        <f>+M23*1.0833/30*28</f>
        <v>817334.78053054714</v>
      </c>
      <c r="O23" s="115">
        <v>2</v>
      </c>
      <c r="P23" s="110">
        <f>160000+60000+175000</f>
        <v>395000</v>
      </c>
      <c r="Q23" s="110">
        <v>330000</v>
      </c>
      <c r="R23" s="110">
        <v>92334.78</v>
      </c>
      <c r="S23" s="78">
        <f>+N23-P23-Q23-R23</f>
        <v>5.3054714226163924E-4</v>
      </c>
      <c r="T23" s="6">
        <f>+S23/T8</f>
        <v>6.4961905628259593E-9</v>
      </c>
      <c r="U23" s="24">
        <f>+T23*U8</f>
        <v>3.8977143376955757E-2</v>
      </c>
      <c r="V23" s="116"/>
    </row>
    <row r="24" spans="1:23" ht="15" customHeight="1" x14ac:dyDescent="0.25">
      <c r="A24" s="103">
        <v>0</v>
      </c>
      <c r="B24" s="104" t="s">
        <v>78</v>
      </c>
      <c r="C24" s="105">
        <v>45705</v>
      </c>
      <c r="D24" s="106">
        <f t="shared" si="9"/>
        <v>889390</v>
      </c>
      <c r="E24" s="107">
        <f t="shared" si="0"/>
        <v>0</v>
      </c>
      <c r="F24" s="106">
        <f>+(D24+E24)*8.33/100</f>
        <v>74086.187000000005</v>
      </c>
      <c r="G24" s="108">
        <f t="shared" si="8"/>
        <v>0</v>
      </c>
      <c r="H24" s="109">
        <f t="shared" si="2"/>
        <v>963476.18700000003</v>
      </c>
      <c r="I24" s="110">
        <f t="shared" si="3"/>
        <v>193256.74022662503</v>
      </c>
      <c r="J24" s="111">
        <f t="shared" si="10"/>
        <v>97797.886574999997</v>
      </c>
      <c r="K24" s="156">
        <f t="shared" si="4"/>
        <v>868017.33334837505</v>
      </c>
      <c r="L24" s="113">
        <v>8</v>
      </c>
      <c r="M24" s="111">
        <f t="shared" si="5"/>
        <v>868017.33334837505</v>
      </c>
      <c r="N24" s="114">
        <f>+M24*1.0833</f>
        <v>940323.17721629457</v>
      </c>
      <c r="O24" s="115"/>
      <c r="P24" s="110">
        <f>40000+150000+60000+200000</f>
        <v>450000</v>
      </c>
      <c r="Q24" s="110">
        <f>12000+375000</f>
        <v>387000</v>
      </c>
      <c r="R24" s="110">
        <v>103323.18</v>
      </c>
      <c r="S24" s="78">
        <f>+(N24-P24-Q24-R24)*1</f>
        <v>-2.7837054221890867E-3</v>
      </c>
      <c r="T24" s="6">
        <f>+S24/T8</f>
        <v>-3.4084588253977123E-8</v>
      </c>
      <c r="U24" s="24">
        <f>+T24*U8</f>
        <v>-0.20450752952386275</v>
      </c>
      <c r="V24" s="154">
        <f>+M24/2*0</f>
        <v>0</v>
      </c>
    </row>
    <row r="25" spans="1:23" ht="15" customHeight="1" x14ac:dyDescent="0.25">
      <c r="A25" s="103">
        <v>0</v>
      </c>
      <c r="B25" s="104" t="s">
        <v>79</v>
      </c>
      <c r="C25" s="105">
        <v>45775</v>
      </c>
      <c r="D25" s="106">
        <f t="shared" si="9"/>
        <v>889390</v>
      </c>
      <c r="E25" s="107">
        <f t="shared" si="0"/>
        <v>0</v>
      </c>
      <c r="F25" s="106">
        <f>+(D25+E25)*8.33/100</f>
        <v>74086.187000000005</v>
      </c>
      <c r="G25" s="108">
        <f t="shared" si="8"/>
        <v>0</v>
      </c>
      <c r="H25" s="109">
        <f t="shared" si="2"/>
        <v>963476.18700000003</v>
      </c>
      <c r="I25" s="110">
        <f>+I24</f>
        <v>193256.74022662503</v>
      </c>
      <c r="J25" s="111">
        <f t="shared" si="10"/>
        <v>97797.886574999997</v>
      </c>
      <c r="K25" s="156">
        <f t="shared" si="4"/>
        <v>868017.33334837505</v>
      </c>
      <c r="L25" s="113">
        <v>8</v>
      </c>
      <c r="M25" s="111">
        <f t="shared" si="5"/>
        <v>868017.33334837505</v>
      </c>
      <c r="N25" s="114">
        <f>+M25*1.0833/30*30</f>
        <v>940323.17721629457</v>
      </c>
      <c r="O25" s="115"/>
      <c r="P25" s="110">
        <f>190000+60000+200000</f>
        <v>450000</v>
      </c>
      <c r="Q25" s="110">
        <v>390000</v>
      </c>
      <c r="R25" s="110">
        <v>100323.18</v>
      </c>
      <c r="S25" s="78">
        <f>+N25-P25-Q25-R25</f>
        <v>-2.7837054221890867E-3</v>
      </c>
      <c r="T25" s="6">
        <f>+S25/T8</f>
        <v>-3.4084588253977123E-8</v>
      </c>
      <c r="U25" s="24">
        <f>+T25*U8</f>
        <v>-0.20450752952386275</v>
      </c>
      <c r="V25" s="116">
        <f>+M25/2</f>
        <v>434008.66667418752</v>
      </c>
    </row>
    <row r="26" spans="1:23" ht="15" customHeight="1" x14ac:dyDescent="0.25">
      <c r="A26" s="103">
        <v>0</v>
      </c>
      <c r="B26" s="104" t="s">
        <v>80</v>
      </c>
      <c r="C26" s="105">
        <v>45943</v>
      </c>
      <c r="D26" s="106">
        <f t="shared" si="9"/>
        <v>889390</v>
      </c>
      <c r="E26" s="107">
        <f t="shared" si="0"/>
        <v>0</v>
      </c>
      <c r="F26" s="118">
        <f>+(D26+E26)*8.33/100*1</f>
        <v>74086.187000000005</v>
      </c>
      <c r="G26" s="108">
        <f t="shared" si="8"/>
        <v>0</v>
      </c>
      <c r="H26" s="109">
        <f t="shared" si="2"/>
        <v>963476.18700000003</v>
      </c>
      <c r="I26" s="110">
        <f>+I25</f>
        <v>193256.74022662503</v>
      </c>
      <c r="J26" s="111">
        <f t="shared" si="10"/>
        <v>97797.886574999997</v>
      </c>
      <c r="K26" s="156">
        <f t="shared" si="4"/>
        <v>868017.33334837505</v>
      </c>
      <c r="L26" s="113">
        <v>4</v>
      </c>
      <c r="M26" s="111">
        <f t="shared" si="5"/>
        <v>434008.66667418752</v>
      </c>
      <c r="N26" s="171">
        <f>+M26*1.0833/30*29</f>
        <v>454489.53565454239</v>
      </c>
      <c r="O26" s="115">
        <v>1</v>
      </c>
      <c r="P26" s="110">
        <f>100000+10000+100000</f>
        <v>210000</v>
      </c>
      <c r="Q26" s="110">
        <v>190000</v>
      </c>
      <c r="R26" s="110">
        <v>54489.54</v>
      </c>
      <c r="S26" s="172">
        <f>+N26-P26-Q26-R26</f>
        <v>-4.3454576152726077E-3</v>
      </c>
      <c r="T26" s="6">
        <f>+S26/T8</f>
        <v>-5.3207186511567383E-8</v>
      </c>
      <c r="U26" s="24">
        <f>+T26*U8</f>
        <v>-0.31924311906940428</v>
      </c>
      <c r="V26" s="116">
        <f>+M26/360*4*0</f>
        <v>0</v>
      </c>
    </row>
    <row r="27" spans="1:23" ht="15" customHeight="1" x14ac:dyDescent="0.25">
      <c r="A27" s="103">
        <v>0</v>
      </c>
      <c r="B27" s="104" t="s">
        <v>81</v>
      </c>
      <c r="C27" s="105">
        <v>45962</v>
      </c>
      <c r="D27" s="106">
        <f t="shared" si="9"/>
        <v>889390</v>
      </c>
      <c r="E27" s="107">
        <f t="shared" si="0"/>
        <v>0</v>
      </c>
      <c r="F27" s="106">
        <f>+(D27+E27)*8.33/100</f>
        <v>74086.187000000005</v>
      </c>
      <c r="G27" s="108">
        <f t="shared" si="8"/>
        <v>0</v>
      </c>
      <c r="H27" s="109">
        <f t="shared" si="2"/>
        <v>963476.18700000003</v>
      </c>
      <c r="I27" s="110">
        <f>+I26</f>
        <v>193256.74022662503</v>
      </c>
      <c r="J27" s="111">
        <f t="shared" si="10"/>
        <v>97797.886574999997</v>
      </c>
      <c r="K27" s="156">
        <f t="shared" si="4"/>
        <v>868017.33334837505</v>
      </c>
      <c r="L27" s="155">
        <v>3</v>
      </c>
      <c r="M27" s="111">
        <f t="shared" si="5"/>
        <v>325506.50000564067</v>
      </c>
      <c r="N27" s="114">
        <f>+M27*1.0833</f>
        <v>352621.19145611051</v>
      </c>
      <c r="O27" s="115"/>
      <c r="P27" s="110">
        <f>100000+20000+100000</f>
        <v>220000</v>
      </c>
      <c r="Q27" s="110">
        <v>100000</v>
      </c>
      <c r="R27" s="110">
        <v>32621.19</v>
      </c>
      <c r="S27" s="172">
        <f>+N27-P27-Q27-R27</f>
        <v>1.4561105090251658E-3</v>
      </c>
      <c r="T27" s="6">
        <f>+S27/T8</f>
        <v>1.7829087358454187E-8</v>
      </c>
      <c r="U27" s="24">
        <f>+T27*U8</f>
        <v>0.10697452415072513</v>
      </c>
      <c r="V27" s="116">
        <f>+M27/360*3*0</f>
        <v>0</v>
      </c>
    </row>
    <row r="28" spans="1:23" ht="15" customHeight="1" x14ac:dyDescent="0.25">
      <c r="A28" s="103">
        <v>3</v>
      </c>
      <c r="B28" s="104" t="s">
        <v>82</v>
      </c>
      <c r="C28" s="105">
        <v>44927</v>
      </c>
      <c r="D28" s="106">
        <f>+D18</f>
        <v>889390</v>
      </c>
      <c r="E28" s="107">
        <f t="shared" si="0"/>
        <v>26681.7</v>
      </c>
      <c r="F28" s="106">
        <f>+(D28+E28)*8.33/100</f>
        <v>76308.77261</v>
      </c>
      <c r="G28" s="108">
        <f>+G25</f>
        <v>0</v>
      </c>
      <c r="H28" s="109">
        <f t="shared" si="2"/>
        <v>992380.47260999994</v>
      </c>
      <c r="I28" s="110">
        <f>+H28*0.195+J28*0.055</f>
        <v>198893.07592057501</v>
      </c>
      <c r="J28" s="111">
        <f>+J18</f>
        <v>97797.886574999997</v>
      </c>
      <c r="K28" s="156">
        <f t="shared" si="4"/>
        <v>891285.283264425</v>
      </c>
      <c r="L28" s="113">
        <v>4</v>
      </c>
      <c r="M28" s="111">
        <f t="shared" si="5"/>
        <v>445642.6416322125</v>
      </c>
      <c r="N28" s="114">
        <f>+M28*1.0833/30*30</f>
        <v>482764.67368017579</v>
      </c>
      <c r="O28" s="115">
        <v>0</v>
      </c>
      <c r="P28" s="110">
        <f>100000+30000+100000</f>
        <v>230000</v>
      </c>
      <c r="Q28" s="110">
        <v>200000</v>
      </c>
      <c r="R28" s="110">
        <v>52764.67</v>
      </c>
      <c r="S28" s="172">
        <f>+(N28-P28-Q28-R28)*1</f>
        <v>3.6801757960347459E-3</v>
      </c>
      <c r="T28" s="6">
        <f>+S28/T8</f>
        <v>4.5061261048036399E-8</v>
      </c>
      <c r="U28" s="24">
        <f>+T28*U8</f>
        <v>0.2703675662882184</v>
      </c>
      <c r="V28" s="116"/>
    </row>
    <row r="29" spans="1:23" ht="15" customHeight="1" x14ac:dyDescent="0.25">
      <c r="A29" s="121">
        <v>20</v>
      </c>
      <c r="K29" s="122">
        <f>SUM(K9:K28)</f>
        <v>17913278.144242123</v>
      </c>
      <c r="M29" s="123">
        <f>SUM(M9:M28)</f>
        <v>14892662.752010008</v>
      </c>
      <c r="N29" s="124">
        <f>SUM(N9:N28)</f>
        <v>15906917.231677966</v>
      </c>
      <c r="O29" s="125"/>
      <c r="P29" s="126">
        <f t="shared" ref="P29:U29" si="11">SUM(P9:P28)</f>
        <v>8040974.5</v>
      </c>
      <c r="Q29" s="126">
        <f t="shared" si="11"/>
        <v>6055500</v>
      </c>
      <c r="R29" s="126">
        <f t="shared" si="11"/>
        <v>1728772.2299999997</v>
      </c>
      <c r="S29" s="127">
        <f t="shared" si="11"/>
        <v>81670.501677962122</v>
      </c>
      <c r="T29" s="128">
        <f t="shared" si="11"/>
        <v>1</v>
      </c>
      <c r="U29" s="101">
        <f t="shared" si="11"/>
        <v>6000000.0000000019</v>
      </c>
      <c r="V29" s="129">
        <f>SUM(V9:V27)</f>
        <v>1840740.4413189748</v>
      </c>
    </row>
    <row r="30" spans="1:23" ht="15" customHeight="1" x14ac:dyDescent="0.25">
      <c r="A30" s="1"/>
      <c r="C30" s="2" t="s">
        <v>83</v>
      </c>
      <c r="D30" s="3">
        <v>46054</v>
      </c>
      <c r="E30" s="4"/>
      <c r="F30" s="5"/>
      <c r="M30" s="6"/>
      <c r="N30" s="6"/>
      <c r="O30" s="6"/>
      <c r="P30" s="6"/>
      <c r="Q30" s="24"/>
      <c r="R30" s="15"/>
      <c r="S30" s="25">
        <f>+S29/2</f>
        <v>40835.250838981061</v>
      </c>
    </row>
    <row r="31" spans="1:23" ht="15" customHeight="1" x14ac:dyDescent="0.25">
      <c r="A31" s="1"/>
      <c r="B31" s="8"/>
      <c r="C31" s="9" t="s">
        <v>0</v>
      </c>
      <c r="D31" s="10">
        <v>53155</v>
      </c>
      <c r="E31" s="4"/>
      <c r="F31" s="16"/>
      <c r="G31" s="16"/>
      <c r="H31" s="16"/>
      <c r="I31" s="16"/>
      <c r="J31" s="16"/>
      <c r="K31" s="15"/>
      <c r="L31" s="16"/>
      <c r="M31" s="16"/>
      <c r="N31" s="131">
        <f>+N30-N29</f>
        <v>-15906917.231677966</v>
      </c>
      <c r="O31" s="131"/>
      <c r="P31" s="15"/>
    </row>
    <row r="32" spans="1:23" ht="15" customHeight="1" x14ac:dyDescent="0.25">
      <c r="A32" s="1"/>
      <c r="B32" s="1"/>
      <c r="C32" s="19" t="s">
        <v>3</v>
      </c>
      <c r="D32" s="20">
        <v>40000</v>
      </c>
      <c r="E32" s="4"/>
      <c r="K32" s="24"/>
    </row>
    <row r="33" spans="1:19" ht="15" customHeight="1" x14ac:dyDescent="0.25">
      <c r="A33" s="1"/>
      <c r="B33" s="1"/>
      <c r="C33" s="19" t="s">
        <v>5</v>
      </c>
      <c r="D33" s="20">
        <v>85000</v>
      </c>
      <c r="E33" s="4"/>
      <c r="F33" s="133"/>
      <c r="M33" s="29" t="s">
        <v>8</v>
      </c>
      <c r="N33" s="30">
        <v>57720</v>
      </c>
      <c r="O33" s="134"/>
      <c r="P33" s="6"/>
      <c r="Q33" s="6"/>
      <c r="R33" s="24"/>
      <c r="S33" s="25"/>
    </row>
    <row r="34" spans="1:19" ht="15" customHeight="1" x14ac:dyDescent="0.25">
      <c r="A34" s="1"/>
      <c r="B34" s="1"/>
      <c r="C34" s="19" t="s">
        <v>10</v>
      </c>
      <c r="D34" s="20"/>
      <c r="E34" s="4"/>
    </row>
    <row r="35" spans="1:19" ht="15" customHeight="1" x14ac:dyDescent="0.25">
      <c r="A35" s="1"/>
      <c r="B35" s="1"/>
      <c r="C35" s="19" t="s">
        <v>13</v>
      </c>
      <c r="D35" s="20">
        <v>22206</v>
      </c>
      <c r="E35" s="4"/>
      <c r="M35" s="29" t="s">
        <v>85</v>
      </c>
      <c r="N35" s="30">
        <v>100000</v>
      </c>
      <c r="O35" s="134"/>
      <c r="P35" s="6"/>
    </row>
    <row r="36" spans="1:19" ht="15" customHeight="1" x14ac:dyDescent="0.25">
      <c r="A36" s="1"/>
      <c r="B36" s="1"/>
      <c r="C36" s="19" t="s">
        <v>16</v>
      </c>
      <c r="D36" s="20"/>
      <c r="E36" s="4"/>
    </row>
    <row r="37" spans="1:19" ht="15" customHeight="1" x14ac:dyDescent="0.25">
      <c r="A37" s="1"/>
      <c r="B37" s="1"/>
      <c r="C37" s="19" t="s">
        <v>20</v>
      </c>
      <c r="D37" s="20"/>
      <c r="E37" s="4"/>
    </row>
    <row r="38" spans="1:19" ht="15" customHeight="1" x14ac:dyDescent="0.25">
      <c r="A38" s="1"/>
      <c r="B38" s="1"/>
      <c r="C38" s="19" t="s">
        <v>24</v>
      </c>
      <c r="D38" s="20">
        <v>18148</v>
      </c>
      <c r="E38" s="4"/>
    </row>
    <row r="39" spans="1:19" ht="15" customHeight="1" x14ac:dyDescent="0.25">
      <c r="A39" s="1"/>
      <c r="B39" s="1"/>
      <c r="C39" s="19" t="s">
        <v>29</v>
      </c>
      <c r="D39" s="20">
        <v>40000</v>
      </c>
      <c r="E39" s="4"/>
    </row>
    <row r="40" spans="1:19" ht="15" customHeight="1" x14ac:dyDescent="0.25">
      <c r="A40" s="1"/>
      <c r="B40" s="1"/>
      <c r="C40" s="19" t="s">
        <v>89</v>
      </c>
      <c r="D40" s="20" t="s">
        <v>45</v>
      </c>
      <c r="E40" s="4"/>
    </row>
    <row r="41" spans="1:19" ht="15" customHeight="1" x14ac:dyDescent="0.25">
      <c r="A41" s="1"/>
      <c r="B41" s="1"/>
      <c r="C41" s="53"/>
      <c r="D41" s="54">
        <f>SUM(D31:D40)</f>
        <v>258509</v>
      </c>
      <c r="E41" s="21"/>
    </row>
    <row r="42" spans="1:19" ht="15" customHeight="1" x14ac:dyDescent="0.25">
      <c r="A42" s="1"/>
      <c r="B42" s="1"/>
      <c r="C42" s="59" t="s">
        <v>39</v>
      </c>
      <c r="D42" s="60">
        <f>+D41/2</f>
        <v>129254.5</v>
      </c>
      <c r="E42" s="21"/>
    </row>
    <row r="43" spans="1:19" ht="15" customHeight="1" x14ac:dyDescent="0.25">
      <c r="A43" s="1"/>
      <c r="B43" s="36"/>
      <c r="C43" s="59" t="s">
        <v>41</v>
      </c>
      <c r="D43" s="61">
        <v>0</v>
      </c>
      <c r="E43" s="4"/>
    </row>
    <row r="44" spans="1:19" ht="15" customHeight="1" x14ac:dyDescent="0.25">
      <c r="A44" s="1"/>
      <c r="B44" s="1"/>
      <c r="C44" s="59" t="s">
        <v>42</v>
      </c>
      <c r="D44" s="61">
        <f>13000*3*4</f>
        <v>156000</v>
      </c>
      <c r="E44" s="4"/>
    </row>
    <row r="45" spans="1:19" ht="15" customHeight="1" x14ac:dyDescent="0.25">
      <c r="A45" s="65"/>
      <c r="B45" s="65"/>
      <c r="C45" s="66" t="s">
        <v>44</v>
      </c>
      <c r="D45" s="67">
        <f>+D42+D44+D43</f>
        <v>285254.5</v>
      </c>
      <c r="E45" s="68"/>
      <c r="F45" s="69"/>
      <c r="G45" s="69"/>
      <c r="H45" s="69"/>
      <c r="I45" s="69"/>
      <c r="J45" s="69"/>
      <c r="K45" s="69"/>
      <c r="L45" s="69"/>
      <c r="M45" s="70"/>
      <c r="N45" s="69"/>
      <c r="O45" s="69"/>
      <c r="P45" s="70"/>
      <c r="Q45" s="69"/>
      <c r="R45" s="69"/>
      <c r="S45" s="71"/>
    </row>
    <row r="46" spans="1:19" ht="15.75" customHeight="1" x14ac:dyDescent="0.25"/>
    <row r="47" spans="1:19" ht="15.75" customHeight="1" x14ac:dyDescent="0.25"/>
    <row r="48" spans="1:19" ht="15" customHeight="1" x14ac:dyDescent="0.25">
      <c r="S48">
        <v>190000</v>
      </c>
    </row>
    <row r="49" spans="19:19" ht="15" customHeight="1" x14ac:dyDescent="0.25">
      <c r="S49">
        <v>86500</v>
      </c>
    </row>
    <row r="50" spans="19:19" ht="15" customHeight="1" x14ac:dyDescent="0.25">
      <c r="S50">
        <f>SUM(S48:S49)</f>
        <v>276500</v>
      </c>
    </row>
    <row r="51" spans="19:19" ht="15.75" customHeight="1" x14ac:dyDescent="0.25"/>
    <row r="52" spans="19:19" ht="15.75" customHeight="1" x14ac:dyDescent="0.25"/>
    <row r="53" spans="19:19" ht="15.75" customHeight="1" x14ac:dyDescent="0.25"/>
    <row r="54" spans="19:19" ht="15.75" customHeight="1" x14ac:dyDescent="0.25"/>
    <row r="55" spans="19:19" ht="15.75" customHeight="1" x14ac:dyDescent="0.25"/>
    <row r="56" spans="19:19" ht="15.75" customHeight="1" x14ac:dyDescent="0.25"/>
    <row r="57" spans="19:19" ht="15.75" customHeight="1" x14ac:dyDescent="0.25"/>
    <row r="58" spans="19:19" ht="15.75" customHeight="1" x14ac:dyDescent="0.25"/>
    <row r="59" spans="19:19" ht="15.75" customHeight="1" x14ac:dyDescent="0.25"/>
    <row r="60" spans="19:19" ht="15.75" customHeight="1" x14ac:dyDescent="0.25"/>
    <row r="61" spans="19:19" ht="15.75" customHeight="1" x14ac:dyDescent="0.25"/>
    <row r="62" spans="19:19" ht="15.75" customHeight="1" x14ac:dyDescent="0.25"/>
    <row r="63" spans="19:19" ht="15.75" customHeight="1" x14ac:dyDescent="0.25"/>
    <row r="64" spans="19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5:N5"/>
  </mergeCells>
  <pageMargins left="0.15763888888888899" right="0.15763888888888899" top="7.8472222222222193E-2" bottom="0" header="0.511811023622047" footer="0.511811023622047"/>
  <pageSetup paperSize="9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G1000"/>
  <sheetViews>
    <sheetView zoomScaleNormal="100" workbookViewId="0"/>
  </sheetViews>
  <sheetFormatPr baseColWidth="10" defaultColWidth="14.42578125" defaultRowHeight="15" x14ac:dyDescent="0.25"/>
  <cols>
    <col min="1" max="4" width="10.7109375" customWidth="1"/>
    <col min="5" max="5" width="13" customWidth="1"/>
    <col min="6" max="6" width="14.5703125" customWidth="1"/>
    <col min="7" max="26" width="10.7109375" customWidth="1"/>
  </cols>
  <sheetData>
    <row r="1" spans="4:7" x14ac:dyDescent="0.25">
      <c r="F1" t="s">
        <v>119</v>
      </c>
      <c r="G1" t="s">
        <v>120</v>
      </c>
    </row>
    <row r="2" spans="4:7" x14ac:dyDescent="0.25">
      <c r="D2" t="s">
        <v>121</v>
      </c>
      <c r="E2" s="24"/>
      <c r="F2" s="173">
        <v>3000</v>
      </c>
    </row>
    <row r="3" spans="4:7" x14ac:dyDescent="0.25">
      <c r="D3" t="s">
        <v>122</v>
      </c>
      <c r="E3" s="24"/>
      <c r="F3" s="173">
        <v>1700</v>
      </c>
    </row>
    <row r="4" spans="4:7" x14ac:dyDescent="0.25">
      <c r="D4" t="s">
        <v>123</v>
      </c>
      <c r="E4" s="24">
        <v>30000</v>
      </c>
      <c r="F4" s="24">
        <f>+E4-9000</f>
        <v>21000</v>
      </c>
    </row>
    <row r="5" spans="4:7" x14ac:dyDescent="0.25">
      <c r="D5" t="s">
        <v>13</v>
      </c>
      <c r="E5" s="24">
        <v>2000</v>
      </c>
      <c r="F5" s="24">
        <f>+E5/2</f>
        <v>1000</v>
      </c>
    </row>
    <row r="6" spans="4:7" x14ac:dyDescent="0.25">
      <c r="D6" t="s">
        <v>0</v>
      </c>
      <c r="E6" s="24">
        <v>4000</v>
      </c>
      <c r="F6" s="24">
        <f>+E6/2</f>
        <v>2000</v>
      </c>
    </row>
    <row r="7" spans="4:7" x14ac:dyDescent="0.25">
      <c r="D7" t="s">
        <v>5</v>
      </c>
      <c r="E7" s="24">
        <v>16000</v>
      </c>
      <c r="F7" s="24">
        <f>+E7/2</f>
        <v>8000</v>
      </c>
    </row>
    <row r="8" spans="4:7" x14ac:dyDescent="0.25">
      <c r="D8" t="s">
        <v>41</v>
      </c>
      <c r="E8" s="24">
        <v>34000</v>
      </c>
      <c r="F8" s="24">
        <f>+E8-6900</f>
        <v>27100</v>
      </c>
    </row>
    <row r="9" spans="4:7" x14ac:dyDescent="0.25">
      <c r="D9" t="s">
        <v>124</v>
      </c>
      <c r="E9" s="24">
        <v>5300</v>
      </c>
      <c r="F9" s="24">
        <f>+E9/2</f>
        <v>2650</v>
      </c>
    </row>
    <row r="10" spans="4:7" x14ac:dyDescent="0.25">
      <c r="D10" t="s">
        <v>10</v>
      </c>
      <c r="E10" s="24">
        <v>2300</v>
      </c>
      <c r="F10" s="24">
        <f>+E10/2</f>
        <v>1150</v>
      </c>
    </row>
    <row r="11" spans="4:7" x14ac:dyDescent="0.25">
      <c r="D11" t="s">
        <v>125</v>
      </c>
      <c r="E11" s="24"/>
      <c r="F11" s="24">
        <v>500</v>
      </c>
    </row>
    <row r="12" spans="4:7" x14ac:dyDescent="0.25">
      <c r="D12" t="s">
        <v>126</v>
      </c>
      <c r="E12" s="24"/>
      <c r="F12" s="173">
        <v>3000</v>
      </c>
    </row>
    <row r="13" spans="4:7" x14ac:dyDescent="0.25">
      <c r="D13" t="s">
        <v>127</v>
      </c>
      <c r="E13" s="24" t="e">
        <f>+#REF!+#REF!+#REF!+#REF!</f>
        <v>#REF!</v>
      </c>
      <c r="F13" s="24" t="e">
        <f>+E13-127000</f>
        <v>#REF!</v>
      </c>
    </row>
    <row r="14" spans="4:7" x14ac:dyDescent="0.25">
      <c r="D14" t="s">
        <v>128</v>
      </c>
      <c r="E14" s="24"/>
      <c r="F14" s="24">
        <v>6000</v>
      </c>
    </row>
    <row r="15" spans="4:7" x14ac:dyDescent="0.25">
      <c r="D15" t="s">
        <v>129</v>
      </c>
      <c r="E15" s="24"/>
      <c r="F15" s="173">
        <v>2000</v>
      </c>
    </row>
    <row r="16" spans="4:7" x14ac:dyDescent="0.25">
      <c r="D16" t="s">
        <v>130</v>
      </c>
      <c r="E16" s="24"/>
      <c r="F16" s="24">
        <v>2000</v>
      </c>
    </row>
    <row r="17" spans="4:6" x14ac:dyDescent="0.25">
      <c r="D17" t="s">
        <v>131</v>
      </c>
      <c r="E17" s="24"/>
      <c r="F17" s="24">
        <f>1900+800</f>
        <v>2700</v>
      </c>
    </row>
    <row r="18" spans="4:6" x14ac:dyDescent="0.25">
      <c r="D18" t="s">
        <v>132</v>
      </c>
      <c r="E18" s="24"/>
      <c r="F18" s="24">
        <v>110000</v>
      </c>
    </row>
    <row r="19" spans="4:6" x14ac:dyDescent="0.25">
      <c r="D19" t="s">
        <v>133</v>
      </c>
      <c r="E19" s="24"/>
      <c r="F19" s="24">
        <f>14000*4+2000*5*4</f>
        <v>96000</v>
      </c>
    </row>
    <row r="20" spans="4:6" x14ac:dyDescent="0.25">
      <c r="D20" t="s">
        <v>134</v>
      </c>
      <c r="E20" s="24"/>
      <c r="F20" s="24">
        <v>5000</v>
      </c>
    </row>
    <row r="21" spans="4:6" ht="15.75" customHeight="1" x14ac:dyDescent="0.25">
      <c r="D21" t="s">
        <v>135</v>
      </c>
      <c r="E21" s="24"/>
      <c r="F21" s="173">
        <v>40000</v>
      </c>
    </row>
    <row r="22" spans="4:6" ht="15.75" customHeight="1" x14ac:dyDescent="0.25">
      <c r="D22" t="s">
        <v>136</v>
      </c>
      <c r="E22" s="24"/>
      <c r="F22" s="24">
        <f>9000*4</f>
        <v>36000</v>
      </c>
    </row>
    <row r="23" spans="4:6" ht="15.75" customHeight="1" x14ac:dyDescent="0.25">
      <c r="D23" t="s">
        <v>137</v>
      </c>
      <c r="E23" s="24"/>
      <c r="F23" s="24">
        <v>10000</v>
      </c>
    </row>
    <row r="24" spans="4:6" ht="15.75" customHeight="1" x14ac:dyDescent="0.25">
      <c r="D24" t="s">
        <v>138</v>
      </c>
      <c r="E24" s="24"/>
      <c r="F24" s="24">
        <v>5000</v>
      </c>
    </row>
    <row r="25" spans="4:6" ht="15.75" customHeight="1" x14ac:dyDescent="0.25">
      <c r="D25" t="s">
        <v>139</v>
      </c>
      <c r="E25" s="24"/>
      <c r="F25" s="24">
        <v>8000</v>
      </c>
    </row>
    <row r="26" spans="4:6" ht="15.75" customHeight="1" x14ac:dyDescent="0.25">
      <c r="D26" t="s">
        <v>140</v>
      </c>
      <c r="E26" s="24"/>
      <c r="F26" s="174">
        <v>200000</v>
      </c>
    </row>
    <row r="27" spans="4:6" ht="15.75" customHeight="1" x14ac:dyDescent="0.25">
      <c r="D27" t="s">
        <v>141</v>
      </c>
      <c r="E27" s="24"/>
      <c r="F27" s="24">
        <f>2000*20</f>
        <v>40000</v>
      </c>
    </row>
    <row r="28" spans="4:6" ht="15.75" customHeight="1" x14ac:dyDescent="0.25">
      <c r="D28" t="s">
        <v>30</v>
      </c>
      <c r="E28" s="24"/>
      <c r="F28" s="24">
        <v>10000</v>
      </c>
    </row>
    <row r="29" spans="4:6" ht="15.75" customHeight="1" x14ac:dyDescent="0.25">
      <c r="D29" t="s">
        <v>142</v>
      </c>
      <c r="E29" s="24"/>
      <c r="F29" s="24">
        <v>16000</v>
      </c>
    </row>
    <row r="30" spans="4:6" ht="15.75" customHeight="1" x14ac:dyDescent="0.25">
      <c r="D30" t="s">
        <v>143</v>
      </c>
      <c r="E30" s="24"/>
      <c r="F30" s="24">
        <v>5000</v>
      </c>
    </row>
    <row r="31" spans="4:6" ht="15.75" customHeight="1" x14ac:dyDescent="0.25">
      <c r="D31" t="s">
        <v>144</v>
      </c>
      <c r="E31" s="24"/>
      <c r="F31" s="24">
        <v>8000</v>
      </c>
    </row>
    <row r="32" spans="4:6" ht="15.75" customHeight="1" x14ac:dyDescent="0.25">
      <c r="D32" t="s">
        <v>145</v>
      </c>
      <c r="E32" s="24"/>
      <c r="F32" s="24">
        <v>1500</v>
      </c>
    </row>
    <row r="33" spans="4:6" ht="15.75" customHeight="1" x14ac:dyDescent="0.25">
      <c r="E33" s="24"/>
      <c r="F33" s="175" t="e">
        <f>SUM(F2:F32)</f>
        <v>#REF!</v>
      </c>
    </row>
    <row r="34" spans="4:6" ht="15.75" customHeight="1" x14ac:dyDescent="0.25"/>
    <row r="35" spans="4:6" ht="15.75" customHeight="1" x14ac:dyDescent="0.25">
      <c r="D35" t="s">
        <v>146</v>
      </c>
      <c r="F35" s="175" t="e">
        <f>+#REF!</f>
        <v>#REF!</v>
      </c>
    </row>
    <row r="36" spans="4:6" ht="15.75" customHeight="1" x14ac:dyDescent="0.25">
      <c r="D36" t="s">
        <v>147</v>
      </c>
      <c r="F36" s="175" t="e">
        <f>+F33+F35</f>
        <v>#REF!</v>
      </c>
    </row>
    <row r="37" spans="4:6" ht="15.75" customHeight="1" x14ac:dyDescent="0.25">
      <c r="D37" t="s">
        <v>148</v>
      </c>
      <c r="F37" s="175" t="e">
        <f>+#REF!</f>
        <v>#REF!</v>
      </c>
    </row>
    <row r="38" spans="4:6" ht="15.75" customHeight="1" x14ac:dyDescent="0.25">
      <c r="D38" t="s">
        <v>149</v>
      </c>
      <c r="F38" s="175" t="e">
        <f>+F37-F36</f>
        <v>#REF!</v>
      </c>
    </row>
    <row r="39" spans="4:6" ht="15.75" customHeight="1" x14ac:dyDescent="0.25">
      <c r="D39" t="s">
        <v>150</v>
      </c>
      <c r="F39" s="175">
        <v>100000</v>
      </c>
    </row>
    <row r="40" spans="4:6" ht="15.75" customHeight="1" x14ac:dyDescent="0.25">
      <c r="D40" t="s">
        <v>151</v>
      </c>
      <c r="F40" s="175">
        <v>50000</v>
      </c>
    </row>
    <row r="41" spans="4:6" ht="15.75" customHeight="1" x14ac:dyDescent="0.25">
      <c r="D41" t="s">
        <v>152</v>
      </c>
      <c r="F41" s="175">
        <v>50000</v>
      </c>
    </row>
    <row r="42" spans="4:6" ht="15.75" customHeight="1" x14ac:dyDescent="0.25">
      <c r="D42" t="s">
        <v>153</v>
      </c>
      <c r="F42" s="176">
        <v>50000</v>
      </c>
    </row>
    <row r="43" spans="4:6" ht="15.75" customHeight="1" x14ac:dyDescent="0.25">
      <c r="D43" s="177" t="s">
        <v>154</v>
      </c>
      <c r="E43" s="178"/>
      <c r="F43" s="179" t="e">
        <f>+F38+F39+F40+F41+F42</f>
        <v>#REF!</v>
      </c>
    </row>
    <row r="44" spans="4:6" ht="15.75" customHeight="1" x14ac:dyDescent="0.25"/>
    <row r="45" spans="4:6" ht="15.75" customHeight="1" x14ac:dyDescent="0.25"/>
    <row r="46" spans="4:6" ht="15.75" customHeight="1" x14ac:dyDescent="0.25"/>
    <row r="47" spans="4:6" ht="15.75" customHeight="1" x14ac:dyDescent="0.25"/>
    <row r="48" spans="4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SEMANAL</vt:lpstr>
      <vt:lpstr>JUN SE PAGA EN JUL</vt:lpstr>
      <vt:lpstr>MAY SE PAGA EN JUN</vt:lpstr>
      <vt:lpstr>ABR SE PAGA EN MAY</vt:lpstr>
      <vt:lpstr>MAR SE PAGA EN ABR</vt:lpstr>
      <vt:lpstr>FEB SE PAGA EN MAR</vt:lpstr>
      <vt:lpstr>ALIAS</vt:lpstr>
      <vt:lpstr>ENE SE PAGA EN FEB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Usuario</cp:lastModifiedBy>
  <cp:revision>1</cp:revision>
  <cp:lastPrinted>2026-07-31T19:42:01Z</cp:lastPrinted>
  <dcterms:created xsi:type="dcterms:W3CDTF">2006-09-16T00:00:00Z</dcterms:created>
  <dcterms:modified xsi:type="dcterms:W3CDTF">2026-08-02T17:41:51Z</dcterms:modified>
  <dc:language>es-AR</dc:language>
</cp:coreProperties>
</file>